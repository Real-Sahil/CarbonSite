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eai.sharepoint.com/programme/Stats/Data Release/07 Website Materials/Conversion factors/"/>
    </mc:Choice>
  </mc:AlternateContent>
  <xr:revisionPtr revIDLastSave="7" documentId="8_{39E20AA5-45E9-4787-8E6F-43A694E1D131}" xr6:coauthVersionLast="47" xr6:coauthVersionMax="47" xr10:uidLastSave="{EEC2E840-4995-4BBF-BCAB-2330D62DC30A}"/>
  <bookViews>
    <workbookView xWindow="-110" yWindow="-110" windowWidth="19420" windowHeight="10300" activeTab="1" xr2:uid="{11B0335E-364E-4D4E-B1C4-D97926C2FB19}"/>
  </bookViews>
  <sheets>
    <sheet name="QAQC" sheetId="2" r:id="rId1"/>
    <sheet name="Conversion and emission factors" sheetId="19" r:id="rId2"/>
    <sheet name="Energy content timeseries" sheetId="16" r:id="rId3"/>
    <sheet name="Emission factors timeseries" sheetId="15" r:id="rId4"/>
    <sheet name="Density timeseries" sheetId="17" r:id="rId5"/>
    <sheet name="Primary energy timeseries" sheetId="14" r:id="rId6"/>
    <sheet name="road_petrol_blend" sheetId="22" r:id="rId7"/>
    <sheet name="road_diesel_blend" sheetId="21" r:id="rId8"/>
    <sheet name="GHG_elec" sheetId="23" r:id="rId9"/>
  </sheets>
  <definedNames>
    <definedName name="ExternalData_1" localSheetId="8" hidden="1">GHG_elec!$A$1:$C$26</definedName>
    <definedName name="ExternalData_2" localSheetId="6" hidden="1">'road_petrol_blend'!$A$1:$D$26</definedName>
    <definedName name="year" localSheetId="1">'Conversion and emission factors'!$C$2</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3" i="16" l="1"/>
  <c r="AC60" i="15"/>
  <c r="AC7" i="17"/>
  <c r="E66" i="15" l="1" a="1"/>
  <c r="E66" i="15" s="1"/>
  <c r="E65" i="15" a="1"/>
  <c r="E65" i="15" s="1"/>
  <c r="E33" i="16" l="1" a="1"/>
  <c r="E33" i="16" s="1"/>
  <c r="E32" i="16" a="1"/>
  <c r="E32" i="16" s="1"/>
  <c r="E41" i="15" a="1"/>
  <c r="E41" i="15" s="1"/>
  <c r="E40" i="15" a="1"/>
  <c r="E40" i="15" s="1"/>
  <c r="N65" i="19"/>
  <c r="N64" i="19"/>
  <c r="N60" i="19"/>
  <c r="N59" i="19"/>
  <c r="N55" i="19"/>
  <c r="N54" i="19"/>
  <c r="N51" i="19"/>
  <c r="N50" i="19"/>
  <c r="N49" i="19"/>
  <c r="N48" i="19"/>
  <c r="N47" i="19"/>
  <c r="N46" i="19"/>
  <c r="N45" i="19"/>
  <c r="N40" i="19"/>
  <c r="N39" i="19"/>
  <c r="N36" i="19"/>
  <c r="N35" i="19"/>
  <c r="N34" i="19"/>
  <c r="N33" i="19"/>
  <c r="N32" i="19"/>
  <c r="N31" i="19"/>
  <c r="N23" i="19"/>
  <c r="N24" i="19"/>
  <c r="N25" i="19"/>
  <c r="N26" i="19"/>
  <c r="N27" i="19"/>
  <c r="N28" i="19"/>
  <c r="N22" i="19"/>
  <c r="E25" i="17" a="1"/>
  <c r="E25" i="17" s="1"/>
  <c r="E24" i="17" a="1"/>
  <c r="E24" i="17" s="1"/>
  <c r="AB7" i="17"/>
  <c r="AA7" i="17" l="1"/>
  <c r="L36" i="19" l="1"/>
  <c r="L55" i="19" l="1"/>
  <c r="L54" i="19"/>
  <c r="L22" i="19" l="1"/>
  <c r="F7" i="17"/>
  <c r="G7" i="17"/>
  <c r="H7" i="17"/>
  <c r="I7" i="17"/>
  <c r="J7" i="17"/>
  <c r="K7" i="17"/>
  <c r="L7" i="17"/>
  <c r="M7" i="17"/>
  <c r="N7" i="17"/>
  <c r="O7" i="17"/>
  <c r="P7" i="17"/>
  <c r="Q7" i="17"/>
  <c r="R7" i="17"/>
  <c r="S7" i="17"/>
  <c r="T7" i="17"/>
  <c r="U7" i="17"/>
  <c r="V7" i="17"/>
  <c r="W7" i="17"/>
  <c r="X7" i="17"/>
  <c r="Y7" i="17"/>
  <c r="Z7" i="17"/>
  <c r="E7" i="17"/>
  <c r="L60" i="19"/>
  <c r="L59" i="19"/>
  <c r="L51" i="19"/>
  <c r="L50" i="19"/>
  <c r="L49" i="19"/>
  <c r="L48" i="19"/>
  <c r="L47" i="19"/>
  <c r="L46" i="19"/>
  <c r="L45" i="19"/>
  <c r="L40" i="19"/>
  <c r="L39" i="19"/>
  <c r="L35" i="19"/>
  <c r="L34" i="19"/>
  <c r="L33" i="19"/>
  <c r="L32" i="19"/>
  <c r="L31" i="19"/>
  <c r="L28" i="19"/>
  <c r="L27" i="19"/>
  <c r="L26" i="19"/>
  <c r="L25" i="19"/>
  <c r="L24" i="19"/>
  <c r="L23" i="19"/>
  <c r="E60" i="15" l="1"/>
  <c r="F56" i="14" l="1"/>
  <c r="G56" i="14" l="1"/>
  <c r="F5" i="17"/>
  <c r="F24" i="17" l="1" a="1"/>
  <c r="F24" i="17" s="1"/>
  <c r="F25" i="17" a="1"/>
  <c r="F25" i="17" s="1"/>
  <c r="H56" i="14"/>
  <c r="G5" i="17"/>
  <c r="B13" i="16"/>
  <c r="G25" i="17" l="1" a="1"/>
  <c r="G25" i="17" s="1"/>
  <c r="G24" i="17" a="1"/>
  <c r="G24" i="17" s="1"/>
  <c r="I56" i="14"/>
  <c r="H5" i="17"/>
  <c r="H25" i="17" l="1" a="1"/>
  <c r="H25" i="17" s="1"/>
  <c r="H24" i="17" a="1"/>
  <c r="H24" i="17" s="1"/>
  <c r="J56" i="14"/>
  <c r="I5" i="17"/>
  <c r="F51" i="16"/>
  <c r="G51" i="16" s="1"/>
  <c r="H51" i="16" s="1"/>
  <c r="I51" i="16" s="1"/>
  <c r="J51" i="16" s="1"/>
  <c r="K51" i="16" s="1"/>
  <c r="L51" i="16" s="1"/>
  <c r="M51" i="16" s="1"/>
  <c r="N51" i="16" s="1"/>
  <c r="O51" i="16" s="1"/>
  <c r="P51" i="16" s="1"/>
  <c r="Q51" i="16" s="1"/>
  <c r="R51" i="16" s="1"/>
  <c r="S51" i="16" s="1"/>
  <c r="T51" i="16" s="1"/>
  <c r="U51" i="16" s="1"/>
  <c r="V51" i="16" s="1"/>
  <c r="W51" i="16" s="1"/>
  <c r="X51" i="16" s="1"/>
  <c r="Y51" i="16" s="1"/>
  <c r="Z51" i="16" s="1"/>
  <c r="AA51" i="16" s="1"/>
  <c r="AB51" i="16" s="1"/>
  <c r="AC51" i="16" s="1"/>
  <c r="F36" i="16"/>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AC36" i="16" s="1"/>
  <c r="E53" i="16"/>
  <c r="I25" i="17" l="1" a="1"/>
  <c r="I25" i="17" s="1"/>
  <c r="I24" i="17" a="1"/>
  <c r="I24" i="17" s="1"/>
  <c r="K56" i="14"/>
  <c r="J5" i="17"/>
  <c r="J25" i="17" l="1" a="1"/>
  <c r="J25" i="17" s="1"/>
  <c r="J24" i="17" a="1"/>
  <c r="J24" i="17" s="1"/>
  <c r="L56" i="14"/>
  <c r="K5" i="17"/>
  <c r="F13" i="16"/>
  <c r="F64" i="15"/>
  <c r="F59" i="15"/>
  <c r="G59" i="15" s="1"/>
  <c r="H59" i="15" s="1"/>
  <c r="I59" i="15" s="1"/>
  <c r="J59" i="15" s="1"/>
  <c r="K59" i="15" s="1"/>
  <c r="L59" i="15" s="1"/>
  <c r="M59" i="15" s="1"/>
  <c r="N59" i="15" s="1"/>
  <c r="O59" i="15" s="1"/>
  <c r="P59" i="15" s="1"/>
  <c r="Q59" i="15" s="1"/>
  <c r="R59" i="15" s="1"/>
  <c r="S59" i="15" s="1"/>
  <c r="T59" i="15" s="1"/>
  <c r="U59" i="15" s="1"/>
  <c r="V59" i="15" s="1"/>
  <c r="W59" i="15" s="1"/>
  <c r="X59" i="15" s="1"/>
  <c r="Y59" i="15" s="1"/>
  <c r="Z59" i="15" s="1"/>
  <c r="AA59" i="15" s="1"/>
  <c r="AB59" i="15" s="1"/>
  <c r="AC59" i="15" s="1"/>
  <c r="F44" i="15"/>
  <c r="F21" i="15"/>
  <c r="F32" i="16" l="1" a="1"/>
  <c r="F32" i="16" s="1"/>
  <c r="F33" i="16" a="1"/>
  <c r="F33" i="16" s="1"/>
  <c r="F60" i="15"/>
  <c r="F40" i="15" a="1"/>
  <c r="F40" i="15" s="1"/>
  <c r="F41" i="15" a="1"/>
  <c r="F41" i="15" s="1"/>
  <c r="F66" i="15" a="1"/>
  <c r="F66" i="15" s="1"/>
  <c r="F65" i="15" a="1"/>
  <c r="F65" i="15" s="1"/>
  <c r="K25" i="17" a="1"/>
  <c r="K25" i="17" s="1"/>
  <c r="K24" i="17" a="1"/>
  <c r="K24" i="17" s="1"/>
  <c r="M56" i="14"/>
  <c r="L5" i="17"/>
  <c r="F53" i="16"/>
  <c r="G21" i="15"/>
  <c r="G44" i="15"/>
  <c r="H44" i="15" s="1"/>
  <c r="I44" i="15" s="1"/>
  <c r="J44" i="15" s="1"/>
  <c r="K44" i="15" s="1"/>
  <c r="L44" i="15" s="1"/>
  <c r="M44" i="15" s="1"/>
  <c r="N44" i="15" s="1"/>
  <c r="O44" i="15" s="1"/>
  <c r="P44" i="15" s="1"/>
  <c r="Q44" i="15" s="1"/>
  <c r="R44" i="15" s="1"/>
  <c r="S44" i="15" s="1"/>
  <c r="T44" i="15" s="1"/>
  <c r="U44" i="15" s="1"/>
  <c r="V44" i="15" s="1"/>
  <c r="W44" i="15" s="1"/>
  <c r="X44" i="15" s="1"/>
  <c r="Y44" i="15" s="1"/>
  <c r="Z44" i="15" s="1"/>
  <c r="AA44" i="15" s="1"/>
  <c r="AB44" i="15" s="1"/>
  <c r="AC44" i="15" s="1"/>
  <c r="G64" i="15"/>
  <c r="G13" i="16"/>
  <c r="G32" i="16" l="1" a="1"/>
  <c r="G32" i="16" s="1"/>
  <c r="G33" i="16" a="1"/>
  <c r="G33" i="16" s="1"/>
  <c r="G66" i="15" a="1"/>
  <c r="G66" i="15" s="1"/>
  <c r="G65" i="15" a="1"/>
  <c r="G65" i="15" s="1"/>
  <c r="G60" i="15"/>
  <c r="G40" i="15" a="1"/>
  <c r="G40" i="15" s="1"/>
  <c r="G41" i="15" a="1"/>
  <c r="G41" i="15" s="1"/>
  <c r="L25" i="17" a="1"/>
  <c r="L25" i="17" s="1"/>
  <c r="L24" i="17" a="1"/>
  <c r="L24" i="17" s="1"/>
  <c r="N56" i="14"/>
  <c r="M5" i="17"/>
  <c r="H21" i="15"/>
  <c r="G53" i="16"/>
  <c r="H64" i="15"/>
  <c r="H13" i="16"/>
  <c r="H32" i="16" l="1" a="1"/>
  <c r="H32" i="16" s="1"/>
  <c r="H33" i="16" a="1"/>
  <c r="H33" i="16" s="1"/>
  <c r="H66" i="15" a="1"/>
  <c r="H66" i="15" s="1"/>
  <c r="H65" i="15" a="1"/>
  <c r="H65" i="15" s="1"/>
  <c r="H60" i="15"/>
  <c r="H40" i="15" a="1"/>
  <c r="H40" i="15" s="1"/>
  <c r="H41" i="15" a="1"/>
  <c r="H41" i="15" s="1"/>
  <c r="M25" i="17" a="1"/>
  <c r="M25" i="17" s="1"/>
  <c r="M24" i="17" a="1"/>
  <c r="M24" i="17" s="1"/>
  <c r="O56" i="14"/>
  <c r="N5" i="17"/>
  <c r="I21" i="15"/>
  <c r="H53" i="16"/>
  <c r="I64" i="15"/>
  <c r="I13" i="16"/>
  <c r="I33" i="16" l="1" a="1"/>
  <c r="I33" i="16" s="1"/>
  <c r="I32" i="16" a="1"/>
  <c r="I32" i="16" s="1"/>
  <c r="I66" i="15" a="1"/>
  <c r="I66" i="15" s="1"/>
  <c r="I65" i="15" a="1"/>
  <c r="I65" i="15" s="1"/>
  <c r="I60" i="15"/>
  <c r="I40" i="15" a="1"/>
  <c r="I40" i="15" s="1"/>
  <c r="I41" i="15" a="1"/>
  <c r="I41" i="15" s="1"/>
  <c r="N25" i="17" a="1"/>
  <c r="N25" i="17" s="1"/>
  <c r="N24" i="17" a="1"/>
  <c r="N24" i="17" s="1"/>
  <c r="P56" i="14"/>
  <c r="O5" i="17"/>
  <c r="J21" i="15"/>
  <c r="I53" i="16"/>
  <c r="J64" i="15"/>
  <c r="J13" i="16"/>
  <c r="J33" i="16" l="1" a="1"/>
  <c r="J33" i="16" s="1"/>
  <c r="J32" i="16" a="1"/>
  <c r="J32" i="16" s="1"/>
  <c r="J66" i="15" a="1"/>
  <c r="J66" i="15" s="1"/>
  <c r="J65" i="15" a="1"/>
  <c r="J65" i="15" s="1"/>
  <c r="J60" i="15"/>
  <c r="J41" i="15" a="1"/>
  <c r="J41" i="15" s="1"/>
  <c r="J40" i="15" a="1"/>
  <c r="J40" i="15" s="1"/>
  <c r="O25" i="17" a="1"/>
  <c r="O25" i="17" s="1"/>
  <c r="O24" i="17" a="1"/>
  <c r="O24" i="17" s="1"/>
  <c r="Q56" i="14"/>
  <c r="P5" i="17"/>
  <c r="K21" i="15"/>
  <c r="J53" i="16"/>
  <c r="K64" i="15"/>
  <c r="K13" i="16"/>
  <c r="K33" i="16" l="1" a="1"/>
  <c r="K33" i="16" s="1"/>
  <c r="K32" i="16" a="1"/>
  <c r="K32" i="16" s="1"/>
  <c r="K66" i="15" a="1"/>
  <c r="K66" i="15" s="1"/>
  <c r="K65" i="15" a="1"/>
  <c r="K65" i="15" s="1"/>
  <c r="K60" i="15"/>
  <c r="K41" i="15" a="1"/>
  <c r="K41" i="15" s="1"/>
  <c r="K40" i="15" a="1"/>
  <c r="K40" i="15" s="1"/>
  <c r="P25" i="17" a="1"/>
  <c r="P25" i="17" s="1"/>
  <c r="P24" i="17" a="1"/>
  <c r="P24" i="17" s="1"/>
  <c r="R56" i="14"/>
  <c r="Q5" i="17"/>
  <c r="L21" i="15"/>
  <c r="K53" i="16"/>
  <c r="L64" i="15"/>
  <c r="L13" i="16"/>
  <c r="L33" i="16" l="1" a="1"/>
  <c r="L33" i="16" s="1"/>
  <c r="L32" i="16" a="1"/>
  <c r="L32" i="16" s="1"/>
  <c r="L66" i="15" a="1"/>
  <c r="L66" i="15" s="1"/>
  <c r="L65" i="15" a="1"/>
  <c r="L65" i="15" s="1"/>
  <c r="L60" i="15"/>
  <c r="L41" i="15" a="1"/>
  <c r="L41" i="15" s="1"/>
  <c r="L40" i="15" a="1"/>
  <c r="L40" i="15" s="1"/>
  <c r="Q24" i="17" a="1"/>
  <c r="Q24" i="17" s="1"/>
  <c r="Q25" i="17" a="1"/>
  <c r="Q25" i="17" s="1"/>
  <c r="S56" i="14"/>
  <c r="R5" i="17"/>
  <c r="M21" i="15"/>
  <c r="L53" i="16"/>
  <c r="M64" i="15"/>
  <c r="M13" i="16"/>
  <c r="M33" i="16" l="1" a="1"/>
  <c r="M33" i="16" s="1"/>
  <c r="M32" i="16" a="1"/>
  <c r="M32" i="16" s="1"/>
  <c r="M66" i="15" a="1"/>
  <c r="M66" i="15" s="1"/>
  <c r="M65" i="15" a="1"/>
  <c r="M65" i="15" s="1"/>
  <c r="M60" i="15"/>
  <c r="M41" i="15" a="1"/>
  <c r="M41" i="15" s="1"/>
  <c r="M40" i="15" a="1"/>
  <c r="M40" i="15" s="1"/>
  <c r="R24" i="17" a="1"/>
  <c r="R24" i="17" s="1"/>
  <c r="R25" i="17" a="1"/>
  <c r="R25" i="17" s="1"/>
  <c r="T56" i="14"/>
  <c r="S5" i="17"/>
  <c r="N21" i="15"/>
  <c r="M53" i="16"/>
  <c r="N64" i="15"/>
  <c r="N13" i="16"/>
  <c r="N32" i="16" l="1" a="1"/>
  <c r="N32" i="16" s="1"/>
  <c r="N33" i="16" a="1"/>
  <c r="N33" i="16" s="1"/>
  <c r="N65" i="15" a="1"/>
  <c r="N65" i="15" s="1"/>
  <c r="N66" i="15" a="1"/>
  <c r="N66" i="15" s="1"/>
  <c r="N60" i="15"/>
  <c r="N40" i="15" a="1"/>
  <c r="N40" i="15" s="1"/>
  <c r="N41" i="15" a="1"/>
  <c r="N41" i="15" s="1"/>
  <c r="S24" i="17" a="1"/>
  <c r="S24" i="17" s="1"/>
  <c r="S25" i="17" a="1"/>
  <c r="S25" i="17" s="1"/>
  <c r="U56" i="14"/>
  <c r="T5" i="17"/>
  <c r="O21" i="15"/>
  <c r="N53" i="16"/>
  <c r="O64" i="15"/>
  <c r="O13" i="16"/>
  <c r="O33" i="16" l="1" a="1"/>
  <c r="O33" i="16" s="1"/>
  <c r="O32" i="16" a="1"/>
  <c r="O32" i="16" s="1"/>
  <c r="O65" i="15" a="1"/>
  <c r="O65" i="15" s="1"/>
  <c r="O66" i="15" a="1"/>
  <c r="O66" i="15" s="1"/>
  <c r="O60" i="15"/>
  <c r="O40" i="15" a="1"/>
  <c r="O40" i="15" s="1"/>
  <c r="O41" i="15" a="1"/>
  <c r="O41" i="15" s="1"/>
  <c r="T24" i="17" a="1"/>
  <c r="T24" i="17" s="1"/>
  <c r="T25" i="17" a="1"/>
  <c r="T25" i="17" s="1"/>
  <c r="V56" i="14"/>
  <c r="U5" i="17"/>
  <c r="P21" i="15"/>
  <c r="O53" i="16"/>
  <c r="P64" i="15"/>
  <c r="P13" i="16"/>
  <c r="P33" i="16" l="1" a="1"/>
  <c r="P33" i="16" s="1"/>
  <c r="P32" i="16" a="1"/>
  <c r="P32" i="16" s="1"/>
  <c r="P65" i="15" a="1"/>
  <c r="P65" i="15" s="1"/>
  <c r="P66" i="15" a="1"/>
  <c r="P66" i="15" s="1"/>
  <c r="P60" i="15"/>
  <c r="P40" i="15" a="1"/>
  <c r="P40" i="15" s="1"/>
  <c r="P41" i="15" a="1"/>
  <c r="P41" i="15" s="1"/>
  <c r="U25" i="17" a="1"/>
  <c r="U25" i="17" s="1"/>
  <c r="U24" i="17" a="1"/>
  <c r="U24" i="17" s="1"/>
  <c r="W56" i="14"/>
  <c r="V5" i="17"/>
  <c r="Q21" i="15"/>
  <c r="P53" i="16"/>
  <c r="Q64" i="15"/>
  <c r="Q13" i="16"/>
  <c r="Q33" i="16" l="1" a="1"/>
  <c r="Q33" i="16" s="1"/>
  <c r="Q32" i="16" a="1"/>
  <c r="Q32" i="16" s="1"/>
  <c r="Q65" i="15" a="1"/>
  <c r="Q65" i="15" s="1"/>
  <c r="Q66" i="15" a="1"/>
  <c r="Q66" i="15" s="1"/>
  <c r="Q60" i="15"/>
  <c r="Q40" i="15" a="1"/>
  <c r="Q40" i="15" s="1"/>
  <c r="Q41" i="15" a="1"/>
  <c r="Q41" i="15" s="1"/>
  <c r="V25" i="17" a="1"/>
  <c r="V25" i="17" s="1"/>
  <c r="V24" i="17" a="1"/>
  <c r="V24" i="17" s="1"/>
  <c r="X56" i="14"/>
  <c r="W5" i="17"/>
  <c r="R21" i="15"/>
  <c r="Q53" i="16"/>
  <c r="R64" i="15"/>
  <c r="R13" i="16"/>
  <c r="R33" i="16" l="1" a="1"/>
  <c r="R33" i="16" s="1"/>
  <c r="R32" i="16" a="1"/>
  <c r="R32" i="16" s="1"/>
  <c r="R60" i="15"/>
  <c r="R40" i="15" a="1"/>
  <c r="R40" i="15" s="1"/>
  <c r="R41" i="15" a="1"/>
  <c r="R41" i="15" s="1"/>
  <c r="R65" i="15" a="1"/>
  <c r="R65" i="15" s="1"/>
  <c r="R66" i="15" a="1"/>
  <c r="R66" i="15" s="1"/>
  <c r="W25" i="17" a="1"/>
  <c r="W25" i="17" s="1"/>
  <c r="W24" i="17" a="1"/>
  <c r="W24" i="17" s="1"/>
  <c r="Y56" i="14"/>
  <c r="X5" i="17"/>
  <c r="S21" i="15"/>
  <c r="R53" i="16"/>
  <c r="S64" i="15"/>
  <c r="S13" i="16"/>
  <c r="S32" i="16" l="1" a="1"/>
  <c r="S32" i="16" s="1"/>
  <c r="S33" i="16" a="1"/>
  <c r="S33" i="16" s="1"/>
  <c r="S60" i="15"/>
  <c r="S40" i="15" a="1"/>
  <c r="S40" i="15" s="1"/>
  <c r="S41" i="15" a="1"/>
  <c r="S41" i="15" s="1"/>
  <c r="S66" i="15" a="1"/>
  <c r="S66" i="15" s="1"/>
  <c r="S65" i="15" a="1"/>
  <c r="S65" i="15" s="1"/>
  <c r="X25" i="17" a="1"/>
  <c r="X25" i="17" s="1"/>
  <c r="X24" i="17" a="1"/>
  <c r="X24" i="17" s="1"/>
  <c r="Z56" i="14"/>
  <c r="Y5" i="17"/>
  <c r="T21" i="15"/>
  <c r="S53" i="16"/>
  <c r="T64" i="15"/>
  <c r="T13" i="16"/>
  <c r="T33" i="16" l="1" a="1"/>
  <c r="T33" i="16" s="1"/>
  <c r="T32" i="16" a="1"/>
  <c r="T32" i="16" s="1"/>
  <c r="T60" i="15"/>
  <c r="T40" i="15" a="1"/>
  <c r="T40" i="15" s="1"/>
  <c r="T41" i="15" a="1"/>
  <c r="T41" i="15" s="1"/>
  <c r="T66" i="15" a="1"/>
  <c r="T66" i="15" s="1"/>
  <c r="T65" i="15" a="1"/>
  <c r="T65" i="15" s="1"/>
  <c r="Y25" i="17" a="1"/>
  <c r="Y25" i="17" s="1"/>
  <c r="Y24" i="17" a="1"/>
  <c r="Y24" i="17" s="1"/>
  <c r="AA56" i="14"/>
  <c r="Z5" i="17"/>
  <c r="U21" i="15"/>
  <c r="T53" i="16"/>
  <c r="U64" i="15"/>
  <c r="U13" i="16"/>
  <c r="U32" i="16" l="1" a="1"/>
  <c r="U32" i="16" s="1"/>
  <c r="U33" i="16" a="1"/>
  <c r="U33" i="16" s="1"/>
  <c r="U60" i="15"/>
  <c r="U40" i="15" a="1"/>
  <c r="U40" i="15" s="1"/>
  <c r="U41" i="15" a="1"/>
  <c r="U41" i="15" s="1"/>
  <c r="U66" i="15" a="1"/>
  <c r="U66" i="15" s="1"/>
  <c r="U65" i="15" a="1"/>
  <c r="U65" i="15" s="1"/>
  <c r="Z25" i="17" a="1"/>
  <c r="Z25" i="17" s="1"/>
  <c r="Z24" i="17" a="1"/>
  <c r="Z24" i="17" s="1"/>
  <c r="AB56" i="14"/>
  <c r="AC56" i="14" s="1"/>
  <c r="AA5" i="17"/>
  <c r="V21" i="15"/>
  <c r="U53" i="16"/>
  <c r="V64" i="15"/>
  <c r="V13" i="16"/>
  <c r="V33" i="16" l="1" a="1"/>
  <c r="V33" i="16" s="1"/>
  <c r="V32" i="16" a="1"/>
  <c r="V32" i="16" s="1"/>
  <c r="V60" i="15"/>
  <c r="V40" i="15" a="1"/>
  <c r="V40" i="15" s="1"/>
  <c r="V41" i="15" a="1"/>
  <c r="V41" i="15" s="1"/>
  <c r="V66" i="15" a="1"/>
  <c r="V66" i="15" s="1"/>
  <c r="V65" i="15" a="1"/>
  <c r="V65" i="15" s="1"/>
  <c r="AA25" i="17" a="1"/>
  <c r="AA25" i="17" s="1"/>
  <c r="AB5" i="17"/>
  <c r="AC5" i="17" s="1"/>
  <c r="AA24" i="17" a="1"/>
  <c r="AA24" i="17" s="1"/>
  <c r="J22" i="19"/>
  <c r="K22" i="19" s="1"/>
  <c r="W21" i="15"/>
  <c r="V53" i="16"/>
  <c r="W64" i="15"/>
  <c r="W13" i="16"/>
  <c r="AC25" i="17" l="1" a="1"/>
  <c r="AC25" i="17" s="1"/>
  <c r="AC24" i="17" a="1"/>
  <c r="AC24" i="17" s="1"/>
  <c r="W32" i="16" a="1"/>
  <c r="W32" i="16" s="1"/>
  <c r="W33" i="16" a="1"/>
  <c r="W33" i="16" s="1"/>
  <c r="W60" i="15"/>
  <c r="W40" i="15" a="1"/>
  <c r="W40" i="15" s="1"/>
  <c r="W41" i="15" a="1"/>
  <c r="W41" i="15" s="1"/>
  <c r="W66" i="15" a="1"/>
  <c r="W66" i="15" s="1"/>
  <c r="W65" i="15" a="1"/>
  <c r="W65" i="15" s="1"/>
  <c r="J26" i="19"/>
  <c r="K26" i="19" s="1"/>
  <c r="J25" i="19"/>
  <c r="K25" i="19" s="1"/>
  <c r="J31" i="19"/>
  <c r="K31" i="19" s="1"/>
  <c r="J32" i="19"/>
  <c r="K32" i="19" s="1"/>
  <c r="J33" i="19"/>
  <c r="K33" i="19" s="1"/>
  <c r="J34" i="19"/>
  <c r="K34" i="19" s="1"/>
  <c r="AB25" i="17" a="1"/>
  <c r="AB25" i="17" s="1"/>
  <c r="J24" i="19"/>
  <c r="K24" i="19" s="1"/>
  <c r="AB24" i="17" a="1"/>
  <c r="AB24" i="17" s="1"/>
  <c r="J23" i="19"/>
  <c r="K23" i="19" s="1"/>
  <c r="J36" i="19"/>
  <c r="K36" i="19" s="1"/>
  <c r="J27" i="19"/>
  <c r="K27" i="19" s="1"/>
  <c r="J28" i="19"/>
  <c r="K28" i="19" s="1"/>
  <c r="X21" i="15"/>
  <c r="W53" i="16"/>
  <c r="X64" i="15"/>
  <c r="X13" i="16"/>
  <c r="X33" i="16" l="1" a="1"/>
  <c r="X33" i="16" s="1"/>
  <c r="X32" i="16" a="1"/>
  <c r="X32" i="16" s="1"/>
  <c r="X66" i="15" a="1"/>
  <c r="X66" i="15" s="1"/>
  <c r="X65" i="15" a="1"/>
  <c r="X65" i="15" s="1"/>
  <c r="X60" i="15"/>
  <c r="X41" i="15" a="1"/>
  <c r="X41" i="15" s="1"/>
  <c r="X40" i="15" a="1"/>
  <c r="X40" i="15" s="1"/>
  <c r="Y21" i="15"/>
  <c r="X53" i="16"/>
  <c r="Y64" i="15"/>
  <c r="Y13" i="16"/>
  <c r="Y33" i="16" l="1" a="1"/>
  <c r="Y33" i="16" s="1"/>
  <c r="Y32" i="16" a="1"/>
  <c r="Y32" i="16" s="1"/>
  <c r="Y66" i="15" a="1"/>
  <c r="Y66" i="15" s="1"/>
  <c r="Y65" i="15" a="1"/>
  <c r="Y65" i="15" s="1"/>
  <c r="Y60" i="15"/>
  <c r="Y41" i="15" a="1"/>
  <c r="Y41" i="15" s="1"/>
  <c r="Y40" i="15" a="1"/>
  <c r="Y40" i="15" s="1"/>
  <c r="Z21" i="15"/>
  <c r="Y53" i="16"/>
  <c r="Z64" i="15"/>
  <c r="Z13" i="16"/>
  <c r="Z33" i="16" l="1" a="1"/>
  <c r="Z33" i="16" s="1"/>
  <c r="Z32" i="16" a="1"/>
  <c r="Z32" i="16" s="1"/>
  <c r="AA64" i="15"/>
  <c r="Z66" i="15" a="1"/>
  <c r="Z66" i="15" s="1"/>
  <c r="Z65" i="15" a="1"/>
  <c r="Z65" i="15" s="1"/>
  <c r="Z41" i="15" a="1"/>
  <c r="Z41" i="15" s="1"/>
  <c r="Z40" i="15" a="1"/>
  <c r="Z40" i="15" s="1"/>
  <c r="AA13" i="16"/>
  <c r="AA21" i="15"/>
  <c r="Z53" i="16"/>
  <c r="AA33" i="16" l="1" a="1"/>
  <c r="AA33" i="16" s="1"/>
  <c r="AB13" i="16"/>
  <c r="AC13" i="16" s="1"/>
  <c r="AA32" i="16" a="1"/>
  <c r="AA32" i="16" s="1"/>
  <c r="AB64" i="15"/>
  <c r="AC64" i="15" s="1"/>
  <c r="AA66" i="15" a="1"/>
  <c r="AA66" i="15" s="1"/>
  <c r="AA65" i="15" a="1"/>
  <c r="AA65" i="15" s="1"/>
  <c r="AA60" i="15"/>
  <c r="AA41" i="15" a="1"/>
  <c r="AA41" i="15" s="1"/>
  <c r="AA40" i="15" a="1"/>
  <c r="AA40" i="15" s="1"/>
  <c r="AA53" i="16"/>
  <c r="AB21" i="15"/>
  <c r="AC21" i="15" s="1"/>
  <c r="Z60" i="15"/>
  <c r="AC41" i="15" l="1" a="1"/>
  <c r="AC41" i="15" s="1"/>
  <c r="AC40" i="15" a="1"/>
  <c r="AC40" i="15" s="1"/>
  <c r="AC65" i="15" a="1"/>
  <c r="AC65" i="15" s="1"/>
  <c r="AC66" i="15" a="1"/>
  <c r="AC66" i="15" s="1"/>
  <c r="AC33" i="16" a="1"/>
  <c r="AC33" i="16" s="1"/>
  <c r="AC32" i="16" a="1"/>
  <c r="AC32" i="16" s="1"/>
  <c r="D34" i="19"/>
  <c r="AB32" i="16" a="1"/>
  <c r="AB32" i="16" s="1"/>
  <c r="D28" i="19"/>
  <c r="D50" i="19"/>
  <c r="C50" i="19" s="1"/>
  <c r="D51" i="19"/>
  <c r="C51" i="19" s="1"/>
  <c r="D32" i="19"/>
  <c r="AB33" i="16" a="1"/>
  <c r="AB33" i="16" s="1"/>
  <c r="D55" i="19"/>
  <c r="C55" i="19" s="1"/>
  <c r="AB53" i="16"/>
  <c r="D25" i="19"/>
  <c r="D47" i="19"/>
  <c r="C47" i="19" s="1"/>
  <c r="D33" i="19"/>
  <c r="D22" i="19"/>
  <c r="D45" i="19"/>
  <c r="C45" i="19" s="1"/>
  <c r="D46" i="19"/>
  <c r="C46" i="19" s="1"/>
  <c r="D35" i="19"/>
  <c r="C35" i="19" s="1"/>
  <c r="D36" i="19"/>
  <c r="D31" i="19"/>
  <c r="D54" i="19"/>
  <c r="C54" i="19" s="1"/>
  <c r="D49" i="19"/>
  <c r="C49" i="19" s="1"/>
  <c r="D27" i="19"/>
  <c r="E27" i="19" s="1"/>
  <c r="D24" i="19"/>
  <c r="E24" i="19" s="1"/>
  <c r="D26" i="19"/>
  <c r="E26" i="19" s="1"/>
  <c r="D23" i="19"/>
  <c r="D60" i="19"/>
  <c r="D48" i="19"/>
  <c r="C48" i="19" s="1"/>
  <c r="F46" i="19"/>
  <c r="G46" i="19" s="1"/>
  <c r="F22" i="19"/>
  <c r="G22" i="19" s="1"/>
  <c r="F48" i="19"/>
  <c r="G48" i="19" s="1"/>
  <c r="F47" i="19"/>
  <c r="G47" i="19" s="1"/>
  <c r="F28" i="19"/>
  <c r="G28" i="19" s="1"/>
  <c r="AB40" i="15" a="1"/>
  <c r="AB40" i="15" s="1"/>
  <c r="AB41" i="15" a="1"/>
  <c r="AB41" i="15" s="1"/>
  <c r="F36" i="19"/>
  <c r="F54" i="19"/>
  <c r="F31" i="19"/>
  <c r="F34" i="19"/>
  <c r="F33" i="19"/>
  <c r="F35" i="19"/>
  <c r="F55" i="19"/>
  <c r="AB65" i="15" a="1"/>
  <c r="AB65" i="15" s="1"/>
  <c r="F64" i="19" s="1"/>
  <c r="AB66" i="15" a="1"/>
  <c r="AB66" i="15" s="1"/>
  <c r="F32" i="19"/>
  <c r="G32" i="19" s="1"/>
  <c r="F45" i="19"/>
  <c r="G45" i="19" s="1"/>
  <c r="F49" i="19"/>
  <c r="G49" i="19" s="1"/>
  <c r="F50" i="19"/>
  <c r="G50" i="19" s="1"/>
  <c r="F51" i="19"/>
  <c r="G51" i="19" s="1"/>
  <c r="F26" i="19"/>
  <c r="G26" i="19" s="1"/>
  <c r="F23" i="19"/>
  <c r="G23" i="19" s="1"/>
  <c r="F27" i="19"/>
  <c r="G27" i="19" s="1"/>
  <c r="F25" i="19"/>
  <c r="G25" i="19" s="1"/>
  <c r="F24" i="19"/>
  <c r="G24" i="19" s="1"/>
  <c r="C27" i="19" l="1"/>
  <c r="H47" i="19"/>
  <c r="H48" i="19"/>
  <c r="H27" i="19"/>
  <c r="I27" i="19" s="1"/>
  <c r="H23" i="19"/>
  <c r="I23" i="19" s="1"/>
  <c r="C32" i="19"/>
  <c r="E32" i="19"/>
  <c r="E22" i="19"/>
  <c r="C22" i="19"/>
  <c r="E25" i="19"/>
  <c r="C25" i="19"/>
  <c r="H28" i="19"/>
  <c r="I28" i="19" s="1"/>
  <c r="C26" i="19"/>
  <c r="H24" i="19"/>
  <c r="I24" i="19" s="1"/>
  <c r="H25" i="19"/>
  <c r="I25" i="19" s="1"/>
  <c r="C36" i="19"/>
  <c r="E36" i="19"/>
  <c r="H22" i="19"/>
  <c r="I22" i="19" s="1"/>
  <c r="E28" i="19"/>
  <c r="C28" i="19"/>
  <c r="H51" i="19"/>
  <c r="H46" i="19"/>
  <c r="H49" i="19"/>
  <c r="D59" i="19"/>
  <c r="H45" i="19"/>
  <c r="H26" i="19"/>
  <c r="I26" i="19" s="1"/>
  <c r="H50" i="19"/>
  <c r="H32" i="19"/>
  <c r="I32" i="19" s="1"/>
  <c r="C33" i="19"/>
  <c r="E33" i="19"/>
  <c r="E23" i="19"/>
  <c r="C23" i="19"/>
  <c r="C24" i="19"/>
  <c r="C34" i="19"/>
  <c r="E34" i="19"/>
  <c r="C31" i="19"/>
  <c r="E31" i="19"/>
  <c r="AB60" i="15"/>
  <c r="F59" i="19" s="1"/>
  <c r="G59" i="19" s="1"/>
  <c r="F60" i="19"/>
  <c r="G60" i="19" s="1"/>
  <c r="H60" i="19" s="1"/>
  <c r="J35" i="19"/>
  <c r="H59" i="19" l="1"/>
  <c r="K35" i="19"/>
  <c r="E35" i="19"/>
  <c r="F65" i="19" l="1"/>
  <c r="G65" i="19" s="1"/>
  <c r="L65" i="19"/>
  <c r="L64" i="19" l="1"/>
  <c r="G64" i="19"/>
  <c r="J39" i="19" l="1"/>
  <c r="K39" i="19" s="1"/>
  <c r="J40" i="19"/>
  <c r="K40" i="19" s="1"/>
  <c r="F40" i="19" l="1"/>
  <c r="G40" i="19" s="1"/>
  <c r="F39" i="19"/>
  <c r="G39" i="19" s="1"/>
  <c r="D39" i="19"/>
  <c r="D40" i="19"/>
  <c r="C39" i="19" l="1"/>
  <c r="E39" i="19"/>
  <c r="C40" i="19"/>
  <c r="E40" i="19"/>
  <c r="H39" i="19"/>
  <c r="I39" i="19" s="1"/>
  <c r="H40" i="19"/>
  <c r="I40" i="1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<sst xmlns="http://schemas.openxmlformats.org/spreadsheetml/2006/main" count="652" uniqueCount="150">
  <si>
    <t>Quality Assurance and Quality Control</t>
  </si>
  <si>
    <t>Workbook Information</t>
  </si>
  <si>
    <t>File Name:</t>
  </si>
  <si>
    <t>Conversion and emission factors for publication</t>
  </si>
  <si>
    <r>
      <rPr>
        <sz val="10"/>
        <color rgb="FF231F20"/>
        <rFont val="Myriad Pro"/>
        <family val="2"/>
      </rPr>
      <t>Description of file:</t>
    </r>
  </si>
  <si>
    <t>Energy conversion and emission factors for publication on SEAI website.</t>
  </si>
  <si>
    <t>Status:
(Draft/ Ongoing /Final)</t>
  </si>
  <si>
    <t>Ongoing</t>
  </si>
  <si>
    <t>Versions</t>
  </si>
  <si>
    <t>Date</t>
  </si>
  <si>
    <t>High-Level Details</t>
  </si>
  <si>
    <t>V1.0</t>
  </si>
  <si>
    <t>New file created for 2022 data</t>
  </si>
  <si>
    <t>V1.1</t>
  </si>
  <si>
    <t>Updated 2022 values for electricity, natural gas, petroleum coke and milled peat.
Expanded explanatary notes.</t>
  </si>
  <si>
    <t>V1.2</t>
  </si>
  <si>
    <t>Updated 2022 values for blended petrol and diesel. Updated fuel oil density. Added biojet HVO.</t>
  </si>
  <si>
    <t>V1.3</t>
  </si>
  <si>
    <t>Added 2023 values.</t>
  </si>
  <si>
    <t>V1.4</t>
  </si>
  <si>
    <t>- Updated 2023 values for electricity, natural gas, blended road petrol &amp; diesel.
- Density values for biodiesel HVO and CHVO have been updated to match those provided in the EU's recast Renewable Energy Directive.</t>
  </si>
  <si>
    <t>V1.5</t>
  </si>
  <si>
    <t>- 2024 values added
- 'Electricity generation' factor relabelled to 'Gross electricity generation' and associated notes updated for clarity.
- Biodiesel ME emission factors updated, based on 5.4% fossil carbon as per EPA's National Inventory Submission 2025</t>
  </si>
  <si>
    <t>QA Checking</t>
  </si>
  <si>
    <t>Author Name:</t>
  </si>
  <si>
    <t>Energy Statistics Team</t>
  </si>
  <si>
    <t>Contact:</t>
  </si>
  <si>
    <t>epssu@seai.ie</t>
  </si>
  <si>
    <t>Energy conversion and emission factors</t>
  </si>
  <si>
    <t>Unless otherwise stated, all values are based on net calorific value (NCV).</t>
  </si>
  <si>
    <t>Comments</t>
  </si>
  <si>
    <t>- The tables below provide the latest conversion and emission factors for common fuel and energy types.</t>
  </si>
  <si>
    <t>- Some factors change over time as fuel properties, biofuel contents or electricity generation mix change.</t>
  </si>
  <si>
    <t>- The 'timeseries' worksheets provide historical annual factors and some additional explanation of the factors.</t>
  </si>
  <si>
    <t>Notes on biomass fuels, bioliquids &amp; biofuel</t>
  </si>
  <si>
    <t>- The net emission of CO2 from the combustion of biogenic carbon in sustainable biomass fuel (incl. solid biomass, biofuel, bioliquid and biogas) is considered to be zero, as it is assumed that the biomass itself absorbs an equal amount of CO2 during growth as is emitted during combustion.</t>
  </si>
  <si>
    <t>- Where biomass fuel is not sustainably produced, CO2 emissions from combustion should be counted. This is consistent with guidelines for greenhouse gas reporting, such as the IPCC 2006 Guideline for National Greeenhouse Gas Inventories &amp; 2019 refinement and EU Emission Trading System.</t>
  </si>
  <si>
    <t>- Biodiesel methyl ester (ME) emission factor is based on a fossil carbon content of 5.4%, as per EPA's National Inventory Submissions 2025.</t>
  </si>
  <si>
    <t>Colour coding</t>
  </si>
  <si>
    <t>Value is typically constant from year to year.</t>
  </si>
  <si>
    <t>Value typically changes on an annual basis.</t>
  </si>
  <si>
    <t>Liquid</t>
  </si>
  <si>
    <t>Energy content</t>
  </si>
  <si>
    <t>Emission factor</t>
  </si>
  <si>
    <t>Density</t>
  </si>
  <si>
    <t>Specific vol.</t>
  </si>
  <si>
    <t>PE factor</t>
  </si>
  <si>
    <t>Note</t>
  </si>
  <si>
    <t>Year</t>
  </si>
  <si>
    <t>toe/t</t>
  </si>
  <si>
    <t>MJ/kg</t>
  </si>
  <si>
    <t>MJ/l</t>
  </si>
  <si>
    <t>gCO2/kWh</t>
  </si>
  <si>
    <t>gCO2/MJ</t>
  </si>
  <si>
    <t>kgCO2/kg</t>
  </si>
  <si>
    <t>kgCO2/l</t>
  </si>
  <si>
    <t>kg/m^3</t>
  </si>
  <si>
    <t>l/t</t>
  </si>
  <si>
    <t>-</t>
  </si>
  <si>
    <t>Petroleum</t>
  </si>
  <si>
    <t>Crude oil</t>
  </si>
  <si>
    <t>Gasoline / petrol (100% petroleum)</t>
  </si>
  <si>
    <t>Kerosene</t>
  </si>
  <si>
    <t>Jet Kerosene</t>
  </si>
  <si>
    <t>Diesel / gasoil (100% petroleum)</t>
  </si>
  <si>
    <t>Residual fuel oil / fuel oil</t>
  </si>
  <si>
    <t>LPG</t>
  </si>
  <si>
    <t>Assumes a mixture of 70% propane &amp; 30% butane by mass</t>
  </si>
  <si>
    <t>Biofuel / bioliquid</t>
  </si>
  <si>
    <t>Bioethanol</t>
  </si>
  <si>
    <t>Biodiesel ME</t>
  </si>
  <si>
    <t>Methyl ester; based on 5.4% fossil carbon</t>
  </si>
  <si>
    <t>Biodiesel HVO</t>
  </si>
  <si>
    <t xml:space="preserve">Hydrotreated vegetable oil </t>
  </si>
  <si>
    <t>Biodiesel CHVO</t>
  </si>
  <si>
    <t>Co-processed hydrotreated vegetable oil</t>
  </si>
  <si>
    <t>Biopropane</t>
  </si>
  <si>
    <t>Biojet HVO</t>
  </si>
  <si>
    <t>Blended petroleum &amp; biofuel</t>
  </si>
  <si>
    <t>Road diesel (avg. biofuel content)</t>
  </si>
  <si>
    <t>Road petrol (avg. biofuel content)</t>
  </si>
  <si>
    <t>Solid</t>
  </si>
  <si>
    <t>Fossil fuel</t>
  </si>
  <si>
    <t>Petroleum coke</t>
  </si>
  <si>
    <t>Bituminous coal</t>
  </si>
  <si>
    <t>Anthracite</t>
  </si>
  <si>
    <t>Lignite</t>
  </si>
  <si>
    <t>Milled peat</t>
  </si>
  <si>
    <t>Sod peat</t>
  </si>
  <si>
    <t>Peat briquettes</t>
  </si>
  <si>
    <t>Biomass</t>
  </si>
  <si>
    <t>Wood pellets &amp; briquettes</t>
  </si>
  <si>
    <t>Wood logs &amp; chips</t>
  </si>
  <si>
    <t>Assumes 25% moisture content</t>
  </si>
  <si>
    <t>Gas</t>
  </si>
  <si>
    <t>MJ/m^3</t>
  </si>
  <si>
    <t>kgCO2/m^3</t>
  </si>
  <si>
    <t>Natural gas (GCV)</t>
  </si>
  <si>
    <t>Natural gas (NCV)</t>
  </si>
  <si>
    <t>Electricity</t>
  </si>
  <si>
    <t>Electricity consumption</t>
  </si>
  <si>
    <t>Gross electricity supply</t>
  </si>
  <si>
    <t>Energy content timeseries</t>
  </si>
  <si>
    <t>- The energy content of a specific quantity of fuel is termed the 'calorific value' or 'heating value'.</t>
  </si>
  <si>
    <t>- The calorific values below are expressed as energy per unit mass (MJ/kg) for liquid and solid fuels, and energy per unit volume (MJ/m^3) for gas.</t>
  </si>
  <si>
    <t>- Gross calorific value (GCV) is determined by bringing all the products of combustion back to the original pre-combustion temperature, in particular condensing any water vapour produced.</t>
  </si>
  <si>
    <t>- Net calorific value (NCV) is determined by subtracting the heat of vaporisation of the water vapour from the higher heating value.</t>
  </si>
  <si>
    <t>- The differences between net and gross calorific values are typically about 5% to 6% of the gross value for solid and liquid fuels, and about 10% for natural gas.</t>
  </si>
  <si>
    <t>Unit</t>
  </si>
  <si>
    <t>Methyl ester</t>
  </si>
  <si>
    <t>Hydrotreated vegetable oil</t>
  </si>
  <si>
    <t>Emission factors timeseries</t>
  </si>
  <si>
    <t>- The emission factors below show the quantity of CO2 produced per unit of energy for each fuel.</t>
  </si>
  <si>
    <t>- Combustion of fuels produces small quantities of greenhouse gases other than CO2 (i.e. CH4 and N2O), the quantities of which depend on the combustion conditions as well as fuel properties.</t>
  </si>
  <si>
    <t>- Emission factors for CH4 and N2O are not included in this spreadsheet.</t>
  </si>
  <si>
    <t>- SEAI recommends consulting the EPA's National Inventory Submissions for details on sector specific factors for CH4 and N2O.</t>
  </si>
  <si>
    <t>- With the exception of electricity, the emission factors include only direct CO2 emissions from combustion of fuels.</t>
  </si>
  <si>
    <t>- Biodiesel methyl ester (ME) CO2 factor is based on a fossil carbon content of 5.4%, as per EPA's National Inventory Submissions 2025.</t>
  </si>
  <si>
    <t>- The electricity CO2 factors presented here reflect national emissions, i.e. emissions that occurred within Ireland per unit of electricity consumption or generation (incl. net imports).</t>
  </si>
  <si>
    <t>- The 'electricity consumption' factor published below includes scope 2 emissions (as defined in GHG Protocol Corporate Accounting and Reporting Standard) from electricity generation, and scope 3 emissions from transmission &amp; distribution losses, and own-use of electricity at plants.</t>
  </si>
  <si>
    <t>- CO2 produced in the generation of imported electricity is not included in the electricity emission factors.</t>
  </si>
  <si>
    <t>- SEAI does not currently publish 'well to tank' factors for electricity, which account for scope 3 emissions from extraction, refining and transportation of fuels used for electricity generation.</t>
  </si>
  <si>
    <t>Units</t>
  </si>
  <si>
    <t>Primary energy factors</t>
  </si>
  <si>
    <t>- Energy consumption can be measured as final energy or primary energy.</t>
  </si>
  <si>
    <t>- Primary energy accounts for the energy that is consumed and/or lost in transformation, transmission and distribution processes.</t>
  </si>
  <si>
    <t>- Primary energy can be calculated by applying conversion factors, which vary by fuel or energy type, to final energy values.</t>
  </si>
  <si>
    <t>- The table below shows default primary energy factors for liquid, solid and gaseous fuels.</t>
  </si>
  <si>
    <t>- The table also shows the annual primary energy factor for Ireland's electricity based on the generation mix that year.</t>
  </si>
  <si>
    <t>Default value</t>
  </si>
  <si>
    <t>Blend_kg_l</t>
  </si>
  <si>
    <t>Blend_mj_kg</t>
  </si>
  <si>
    <t>Blend_gCO2_kWh</t>
  </si>
  <si>
    <t>Electricity_AFC_gCO2_kWh</t>
  </si>
  <si>
    <t>Gross_Electricity_Supply_gCO2_kWh</t>
  </si>
  <si>
    <t>V1.6</t>
  </si>
  <si>
    <t>Milled peat last used in 2023; subsequent years will use 2023 values</t>
  </si>
  <si>
    <t>- Since the NCV typically represents the amount of actual usable energy, all energy quantities in Ireland’s National Energy Balance are determined on the basis of NCVs.</t>
  </si>
  <si>
    <t>- 2024 CO2 factors updated for natural gas and petroleum coke
- Additional notes added for milled peat</t>
  </si>
  <si>
    <t>Average diesel-biofuel blend in 2025</t>
  </si>
  <si>
    <t>Average petrol-biofuel blend in 2025</t>
  </si>
  <si>
    <t>V1.7</t>
  </si>
  <si>
    <t>- CO2 emissions arising in Ireland per unit of gross electricity supply.
- Calculated as total CO2 from electricity generation in Ireland divided by gross electricity supply.
- Gross electricity supply is the sum of gross electricity production in Ireland (excluding output from pump &amp; battery storage) and net imports
- Use this factor to calculate CO2 emissions arising in Ireland from generation only.
- CO2 emission arising from generation outside of Ireland are not included in this factor.
- 2025 provisional value.</t>
  </si>
  <si>
    <t>- CO2 emissions arising within Ireland per unit of electricity available for final consumption.
- Calculated as total CO2 from electricity generation in Ireland divided by electricity available for final consumption.
- Use this factor to calculate CO2 emissions, arising in Ireland, for electricity consumption including generation, transmission and distribution losses, and own-use of electricity in power plants.
- CO2 emissions arising outside of Ireland are not included in this factor.
- 2025 provisional value.</t>
  </si>
  <si>
    <t>Provisional values for 2025</t>
  </si>
  <si>
    <t>Provisional values for 2025.</t>
  </si>
  <si>
    <t>- CO2 emissions arising within Ireland per unit of electricity available for final consumption.
- Calculated as total CO2 from electricity generation in Ireland divided by electricity available for final consumption.
- Use this factor to calculate CO2 emissions, arising in Ireland, for electricity consumption including generation, transmission and distribution losses, and own-use of electricity in power plants.
- CO2 emissions arising outside of Ireland are not included in this factor.
- Imports are not included in the calculation of PE factors.
- 2025 provisional values.</t>
  </si>
  <si>
    <r>
      <t xml:space="preserve">- CO2 emissions arising in Ireland per unit of gross electricity supply.
- Calculated as total CO2 from electricity generation in Ireland divided by gross electricity supply.
- Gross electricity supply is the sum of gross electricity production in Ireland (excluding output from pump &amp; battery storage) and net imports
- Use this factor to calculate CO2 emissions arising in Ireland from generation </t>
    </r>
    <r>
      <rPr>
        <b/>
        <u/>
        <sz val="11"/>
        <color theme="1"/>
        <rFont val="Calibri"/>
        <family val="2"/>
        <scheme val="minor"/>
      </rPr>
      <t>only</t>
    </r>
    <r>
      <rPr>
        <sz val="11"/>
        <color theme="1"/>
        <rFont val="Calibri"/>
        <family val="2"/>
        <scheme val="minor"/>
      </rPr>
      <t>.
- CO2 emission arising from generation outside of Ireland are not included in this factor.
- Imports are not included in the calculation of PE factors.
- 2025 provisional values.</t>
    </r>
  </si>
  <si>
    <t>- 2025 values added
- Updates to Electricity Consumption and Gross Electricity Supply CO2 timeseries</t>
  </si>
  <si>
    <t>- Imports are not included in the calculation of PE factors.
- 2025 provisional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</si>
</sst>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18" x14ac:knownFonts="1">
    <font>
      <sz val="11"/>
      <color theme="1"/>
      <name val="Calibri"/>
      <family val="2"/>
      <scheme val="minor"/>
    </font>
    <font>
      <sz val="11"/>
      <color theme="1"/>
      <name val="Calibri"/>
      <family val="2"/>
      <scheme val="minor"/>
    </font>
    <font>
      <b/>
      <sz val="11"/>
      <color theme="3"/>
      <name val="Calibri"/>
      <family val="2"/>
      <scheme val="minor"/>
    </font>
    <font>
      <sz val="11"/>
      <color rgb="FF006100"/>
      <name val="Calibri"/>
      <family val="2"/>
      <scheme val="minor"/>
    </font>
    <font>
      <sz val="11"/>
      <color rgb="FFFF0000"/>
      <name val="Calibri"/>
      <family val="2"/>
      <scheme val="minor"/>
    </font>
    <font>
      <sz val="11"/>
      <color theme="0"/>
      <name val="Calibri"/>
      <family val="2"/>
      <scheme val="minor"/>
    </font>
    <font>
      <sz val="10"/>
      <color rgb="FF000000"/>
      <name val="Myriad Pro"/>
      <family val="2"/>
    </font>
    <font>
      <b/>
      <sz val="12"/>
      <name val="Myriad Pro"/>
      <family val="2"/>
    </font>
    <font>
      <b/>
      <sz val="12"/>
      <color rgb="FF231F20"/>
      <name val="Myriad Pro"/>
      <family val="2"/>
    </font>
    <font>
      <sz val="10"/>
      <color rgb="FF231F20"/>
      <name val="Myriad Pro"/>
      <family val="2"/>
    </font>
    <font>
      <sz val="10"/>
      <name val="Myriad Pro"/>
      <family val="2"/>
    </font>
    <font>
      <b/>
      <sz val="10"/>
      <name val="Myriad Pro"/>
      <family val="2"/>
    </font>
    <font>
      <sz val="10"/>
      <color rgb="FF000000"/>
      <name val="Times New Roman"/>
      <family val="1"/>
    </font>
    <font>
      <i/>
      <sz val="11"/>
      <color theme="1"/>
      <name val="Calibri"/>
      <family val="2"/>
      <scheme val="minor"/>
    </font>
    <font>
      <b/>
      <sz val="13"/>
      <color theme="3"/>
      <name val="Calibri"/>
      <family val="2"/>
      <scheme val="minor"/>
    </font>
    <font>
      <sz val="11"/>
      <name val="Calibri"/>
      <family val="2"/>
      <scheme val="minor"/>
    </font>
    <font>
      <b/>
      <u/>
      <sz val="11"/>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79998168889431442"/>
        <bgColor indexed="65"/>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DE9D9"/>
        <bgColor indexed="64"/>
      </patternFill>
    </fill>
  </fills>
  <borders count="32">
    <border>
      <left/>
      <right/>
      <top/>
      <bottom/>
      <diagonal/>
    </border>
    <border>
      <left/>
      <right/>
      <top/>
      <bottom style="medium">
        <color theme="4" tint="0.39997558519241921"/>
      </bottom>
      <diagonal/>
    </border>
    <border>
      <left/>
      <right/>
      <top/>
      <bottom style="thick">
        <color theme="4" tint="0.499984740745262"/>
      </bottom>
      <diagonal/>
    </border>
    <border>
      <left style="medium">
        <color rgb="FFA7BFDE"/>
      </left>
      <right/>
      <top style="medium">
        <color rgb="FFA7BFDE"/>
      </top>
      <bottom style="medium">
        <color theme="4" tint="0.39997558519241921"/>
      </bottom>
      <diagonal/>
    </border>
    <border>
      <left/>
      <right/>
      <top style="medium">
        <color rgb="FFA7BFDE"/>
      </top>
      <bottom style="medium">
        <color theme="4" tint="0.39997558519241921"/>
      </bottom>
      <diagonal/>
    </border>
    <border>
      <left/>
      <right style="medium">
        <color rgb="FFA7BFDE"/>
      </right>
      <top style="medium">
        <color rgb="FFA7BFDE"/>
      </top>
      <bottom style="medium">
        <color theme="4" tint="0.39997558519241921"/>
      </bottom>
      <diagonal/>
    </border>
    <border>
      <left style="medium">
        <color rgb="FFA7BFDE"/>
      </left>
      <right/>
      <top/>
      <bottom style="medium">
        <color theme="4" tint="0.39997558519241921"/>
      </bottom>
      <diagonal/>
    </border>
    <border>
      <left/>
      <right style="medium">
        <color rgb="FFA7BFDE"/>
      </right>
      <top/>
      <bottom style="medium">
        <color theme="4" tint="0.39997558519241921"/>
      </bottom>
      <diagonal/>
    </border>
    <border>
      <left style="medium">
        <color rgb="FFA7BFDE"/>
      </left>
      <right/>
      <top/>
      <bottom/>
      <diagonal/>
    </border>
    <border>
      <left/>
      <right style="medium">
        <color rgb="FFA7BFDE"/>
      </right>
      <top/>
      <bottom/>
      <diagonal/>
    </border>
    <border>
      <left style="medium">
        <color rgb="FFA7BFDE"/>
      </left>
      <right/>
      <top/>
      <bottom style="medium">
        <color rgb="FFA7BFDE"/>
      </bottom>
      <diagonal/>
    </border>
    <border>
      <left/>
      <right/>
      <top/>
      <bottom style="medium">
        <color rgb="FFA7BFDE"/>
      </bottom>
      <diagonal/>
    </border>
    <border>
      <left/>
      <right style="medium">
        <color rgb="FFA7BFDE"/>
      </right>
      <top/>
      <bottom style="medium">
        <color rgb="FFA7BFDE"/>
      </bottom>
      <diagonal/>
    </border>
    <border>
      <left style="medium">
        <color rgb="FFA7BFDE"/>
      </left>
      <right style="medium">
        <color rgb="FFA7BFDE"/>
      </right>
      <top style="medium">
        <color rgb="FFA7BFDE"/>
      </top>
      <bottom style="medium">
        <color theme="4" tint="0.39997558519241921"/>
      </bottom>
      <diagonal/>
    </border>
    <border>
      <left style="medium">
        <color rgb="FFA7BFDE"/>
      </left>
      <right style="medium">
        <color rgb="FFA7BFDE"/>
      </right>
      <top/>
      <bottom style="medium">
        <color theme="4" tint="0.39997558519241921"/>
      </bottom>
      <diagonal/>
    </border>
    <border>
      <left style="medium">
        <color rgb="FFA7BFDE"/>
      </left>
      <right style="medium">
        <color rgb="FFA7BFDE"/>
      </right>
      <top/>
      <bottom/>
      <diagonal/>
    </border>
    <border>
      <left style="medium">
        <color rgb="FFA7BFDE"/>
      </left>
      <right style="medium">
        <color rgb="FFA7BFDE"/>
      </right>
      <top/>
      <bottom style="medium">
        <color rgb="FFA7BFDE"/>
      </bottom>
      <diagonal/>
    </border>
    <border>
      <left style="medium">
        <color rgb="FFA7BFDE"/>
      </left>
      <right style="medium">
        <color rgb="FFA7BFDE"/>
      </right>
      <top style="medium">
        <color rgb="FFA7BFDE"/>
      </top>
      <bottom/>
      <diagonal/>
    </border>
    <border>
      <left/>
      <right/>
      <top style="medium">
        <color theme="4" tint="0.39997558519241921"/>
      </top>
      <bottom style="medium">
        <color rgb="FFA7BFDE"/>
      </bottom>
      <diagonal/>
    </border>
    <border>
      <left/>
      <right/>
      <top style="medium">
        <color theme="4" tint="0.39997558519241921"/>
      </top>
      <bottom/>
      <diagonal/>
    </border>
    <border>
      <left style="medium">
        <color rgb="FFA7BFDE"/>
      </left>
      <right/>
      <top style="medium">
        <color rgb="FFA7BFDE"/>
      </top>
      <bottom/>
      <diagonal/>
    </border>
    <border>
      <left/>
      <right/>
      <top style="medium">
        <color rgb="FFA7BFDE"/>
      </top>
      <bottom/>
      <diagonal/>
    </border>
    <border>
      <left/>
      <right style="medium">
        <color rgb="FFA7BFDE"/>
      </right>
      <top style="medium">
        <color rgb="FFA7BFDE"/>
      </top>
      <bottom/>
      <diagonal/>
    </border>
    <border>
      <left/>
      <right style="medium">
        <color rgb="FFA7BFDE"/>
      </right>
      <top style="medium">
        <color theme="4" tint="0.39997558519241921"/>
      </top>
      <bottom/>
      <diagonal/>
    </border>
    <border>
      <left style="medium">
        <color rgb="FFA7BFDE"/>
      </left>
      <right style="medium">
        <color rgb="FFA7BFDE"/>
      </right>
      <top/>
      <bottom style="mediumDashed">
        <color rgb="FFA7BFDE"/>
      </bottom>
      <diagonal/>
    </border>
    <border>
      <left style="medium">
        <color rgb="FFA7BFDE"/>
      </left>
      <right style="medium">
        <color rgb="FFA7BFDE"/>
      </right>
      <top style="medium">
        <color theme="4" tint="0.39997558519241921"/>
      </top>
      <bottom style="mediumDashed">
        <color rgb="FFA7BFDE"/>
      </bottom>
      <diagonal/>
    </border>
    <border>
      <left/>
      <right/>
      <top style="medium">
        <color theme="4" tint="0.39997558519241921"/>
      </top>
      <bottom style="mediumDashed">
        <color rgb="FFA7BFDE"/>
      </bottom>
      <diagonal/>
    </border>
    <border>
      <left/>
      <right/>
      <top/>
      <bottom style="mediumDashed">
        <color rgb="FFA7BFDE"/>
      </bottom>
      <diagonal/>
    </border>
    <border>
      <left style="medium">
        <color rgb="FFA7BFDE"/>
      </left>
      <right/>
      <top style="medium">
        <color rgb="FFA7BFDE"/>
      </top>
      <bottom style="mediumDashed">
        <color rgb="FFA7BFDE"/>
      </bottom>
      <diagonal/>
    </border>
    <border>
      <left/>
      <right/>
      <top style="medium">
        <color rgb="FFA7BFDE"/>
      </top>
      <bottom style="mediumDashed">
        <color rgb="FFA7BFDE"/>
      </bottom>
      <diagonal/>
    </border>
    <border>
      <left/>
      <right style="medium">
        <color rgb="FFA7BFDE"/>
      </right>
      <top style="medium">
        <color rgb="FFA7BFDE"/>
      </top>
      <bottom style="mediumDashed">
        <color rgb="FFA7BFDE"/>
      </bottom>
      <diagonal/>
    </border>
    <border>
      <left style="medium">
        <color rgb="FFA7BFDE"/>
      </left>
      <right style="medium">
        <color rgb="FFA7BFDE"/>
      </right>
      <top style="medium">
        <color rgb="FFA7BFDE"/>
      </top>
      <bottom style="mediumDashed">
        <color rgb="FFA7BFDE"/>
      </bottom>
      <diagonal/>
    </border>
  </borders>
  <cellStyleXfs count="16">
    <xf numFmtId="0" fontId="0" fillId="0" borderId="0"/>
    <xf numFmtId="164" fontId="1" fillId="9" borderId="0" applyBorder="0" applyAlignment="0" applyProtection="0"/>
    <xf numFmtId="0" fontId="1" fillId="4" borderId="0" applyNumberFormat="0" applyBorder="0" applyAlignment="0" applyProtection="0"/>
    <xf numFmtId="0" fontId="1" fillId="0" borderId="0"/>
    <xf numFmtId="164" fontId="1" fillId="4" borderId="0" applyBorder="0" applyAlignment="0" applyProtection="0"/>
    <xf numFmtId="164" fontId="1" fillId="5" borderId="0" applyBorder="0" applyAlignment="0" applyProtection="0"/>
    <xf numFmtId="164" fontId="1" fillId="7" borderId="0" applyBorder="0" applyAlignment="0" applyProtection="0"/>
    <xf numFmtId="164" fontId="1" fillId="8" borderId="0" applyBorder="0" applyAlignment="0" applyProtection="0"/>
    <xf numFmtId="164" fontId="5" fillId="6" borderId="0" applyBorder="0" applyAlignment="0" applyProtection="0"/>
    <xf numFmtId="164" fontId="3" fillId="2" borderId="0" applyBorder="0" applyAlignment="0" applyProtection="0"/>
    <xf numFmtId="0" fontId="2" fillId="0" borderId="1" applyFill="0" applyAlignment="0" applyProtection="0"/>
    <xf numFmtId="0" fontId="4" fillId="0" borderId="0" applyFill="0" applyBorder="0" applyAlignment="0" applyProtection="0"/>
    <xf numFmtId="0" fontId="14" fillId="3" borderId="2" applyAlignment="0" applyProtection="0"/>
    <xf numFmtId="0" fontId="14" fillId="0" borderId="2" applyFill="0" applyAlignment="0" applyProtection="0"/>
    <xf numFmtId="0" fontId="2" fillId="0" borderId="1" applyNumberFormat="0" applyFill="0" applyAlignment="0" applyProtection="0"/>
    <xf numFmtId="0" fontId="17" fillId="0" borderId="0" applyNumberFormat="0" applyFill="0" applyBorder="0" applyAlignment="0" applyProtection="0"/>
  </cellStyleXfs>
  <cellXfs count="211">
    <xf numFmtId="0" fontId="0" fillId="0" borderId="0" xfId="0"/>
    <xf numFmtId="0" fontId="6"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0" fontId="11" fillId="0" borderId="0" xfId="0" applyFont="1" applyAlignment="1">
      <alignment horizontal="lef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1" fillId="0" borderId="0" xfId="0" applyFont="1"/>
    <xf numFmtId="0" fontId="1" fillId="0" borderId="0" xfId="3"/>
    <xf numFmtId="0" fontId="1" fillId="4" borderId="0" xfId="2"/>
    <xf numFmtId="0" fontId="14" fillId="3" borderId="2" xfId="12"/>
    <xf numFmtId="0" fontId="13" fillId="4" borderId="0" xfId="2" applyFont="1"/>
    <xf numFmtId="0" fontId="2" fillId="0" borderId="1" xfId="10"/>
    <xf numFmtId="0" fontId="6" fillId="3" borderId="0" xfId="0" applyFont="1" applyFill="1" applyAlignment="1">
      <alignment horizontal="left" vertical="top"/>
    </xf>
    <xf numFmtId="0" fontId="9" fillId="3" borderId="0" xfId="0" applyFont="1" applyFill="1" applyAlignment="1">
      <alignment horizontal="left" vertical="top"/>
    </xf>
    <xf numFmtId="0" fontId="10" fillId="3" borderId="0" xfId="0" applyFont="1" applyFill="1" applyAlignment="1">
      <alignment horizontal="left" vertical="top"/>
    </xf>
    <xf numFmtId="0" fontId="0" fillId="3" borderId="0" xfId="0" applyFill="1" applyAlignment="1">
      <alignment horizontal="left" vertical="top"/>
    </xf>
    <xf numFmtId="0" fontId="8" fillId="3" borderId="0" xfId="0" applyFont="1" applyFill="1" applyAlignment="1">
      <alignment horizontal="left" vertical="top" wrapText="1"/>
    </xf>
    <xf numFmtId="0" fontId="6" fillId="3" borderId="0" xfId="0" applyFont="1" applyFill="1" applyAlignment="1">
      <alignment horizontal="left" vertical="top" wrapText="1"/>
    </xf>
    <xf numFmtId="14" fontId="10" fillId="3" borderId="0" xfId="0" applyNumberFormat="1" applyFont="1" applyFill="1" applyAlignment="1">
      <alignment horizontal="left" vertical="top" wrapText="1"/>
    </xf>
    <xf numFmtId="0" fontId="10" fillId="3" borderId="0" xfId="0" applyFont="1" applyFill="1" applyAlignment="1">
      <alignment horizontal="left" vertical="top" wrapText="1"/>
    </xf>
    <xf numFmtId="0" fontId="9" fillId="3" borderId="0" xfId="0" applyFont="1" applyFill="1" applyAlignment="1">
      <alignment horizontal="left" vertical="top" wrapText="1"/>
    </xf>
    <xf numFmtId="0" fontId="8" fillId="3" borderId="0" xfId="0" applyFont="1" applyFill="1" applyAlignment="1">
      <alignment horizontal="left" vertical="top"/>
    </xf>
    <xf numFmtId="0" fontId="7" fillId="3" borderId="0" xfId="0" applyFont="1" applyFill="1" applyAlignment="1">
      <alignment horizontal="left" vertical="top" wrapText="1"/>
    </xf>
    <xf numFmtId="14" fontId="11" fillId="3" borderId="0" xfId="0" applyNumberFormat="1" applyFont="1" applyFill="1" applyAlignment="1">
      <alignment horizontal="left" vertical="top" wrapText="1"/>
    </xf>
    <xf numFmtId="2" fontId="0" fillId="0" borderId="0" xfId="0" applyNumberFormat="1"/>
    <xf numFmtId="165" fontId="0" fillId="0" borderId="0" xfId="0" applyNumberFormat="1"/>
    <xf numFmtId="1" fontId="1" fillId="9" borderId="0" xfId="1" applyNumberFormat="1"/>
    <xf numFmtId="164" fontId="1" fillId="8" borderId="0" xfId="7"/>
    <xf numFmtId="164" fontId="1" fillId="4" borderId="0" xfId="4"/>
    <xf numFmtId="164" fontId="1" fillId="10" borderId="0" xfId="0" applyNumberFormat="1" applyFont="1" applyFill="1"/>
    <xf numFmtId="0" fontId="2" fillId="0" borderId="1" xfId="14"/>
    <xf numFmtId="2" fontId="1" fillId="9" borderId="0" xfId="1" applyNumberFormat="1"/>
    <xf numFmtId="164" fontId="1" fillId="9" borderId="0" xfId="1"/>
    <xf numFmtId="0" fontId="0" fillId="0" borderId="0" xfId="0" quotePrefix="1" applyAlignment="1">
      <alignment wrapText="1"/>
    </xf>
    <xf numFmtId="0" fontId="0" fillId="0" borderId="8" xfId="0" applyBorder="1"/>
    <xf numFmtId="0" fontId="0" fillId="0" borderId="15" xfId="0" applyBorder="1"/>
    <xf numFmtId="0" fontId="2" fillId="0" borderId="6" xfId="10" applyBorder="1" applyAlignment="1">
      <alignment horizontal="center" vertical="center"/>
    </xf>
    <xf numFmtId="0" fontId="2" fillId="0" borderId="1" xfId="10" applyAlignment="1">
      <alignment horizontal="center" vertical="center"/>
    </xf>
    <xf numFmtId="0" fontId="2" fillId="0" borderId="7" xfId="10" applyBorder="1" applyAlignment="1">
      <alignment horizontal="center" vertical="center"/>
    </xf>
    <xf numFmtId="0" fontId="2" fillId="0" borderId="13" xfId="10" applyBorder="1" applyAlignment="1">
      <alignment horizontal="center" vertical="center"/>
    </xf>
    <xf numFmtId="0" fontId="13" fillId="4" borderId="0" xfId="2" applyFont="1" applyAlignment="1">
      <alignment horizontal="left"/>
    </xf>
    <xf numFmtId="0" fontId="16" fillId="0" borderId="0" xfId="3" applyFont="1"/>
    <xf numFmtId="0" fontId="2" fillId="0" borderId="14" xfId="10" applyBorder="1" applyAlignment="1">
      <alignment horizontal="center" vertical="center"/>
    </xf>
    <xf numFmtId="165" fontId="1" fillId="8" borderId="0" xfId="7" applyNumberFormat="1"/>
    <xf numFmtId="0" fontId="0" fillId="0" borderId="9" xfId="0" applyBorder="1"/>
    <xf numFmtId="0" fontId="0" fillId="0" borderId="8" xfId="0" applyBorder="1" applyAlignment="1">
      <alignment horizontal="center"/>
    </xf>
    <xf numFmtId="2" fontId="0" fillId="0" borderId="0" xfId="0" applyNumberFormat="1" applyAlignment="1">
      <alignment horizontal="center"/>
    </xf>
    <xf numFmtId="2" fontId="0" fillId="0" borderId="9" xfId="0" applyNumberFormat="1" applyBorder="1" applyAlignment="1">
      <alignment horizontal="center"/>
    </xf>
    <xf numFmtId="2" fontId="0" fillId="0" borderId="8" xfId="0" applyNumberFormat="1" applyBorder="1" applyAlignment="1">
      <alignment horizontal="center"/>
    </xf>
    <xf numFmtId="2" fontId="0" fillId="0" borderId="15" xfId="0" applyNumberFormat="1"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15" xfId="0" applyBorder="1" applyAlignment="1">
      <alignment horizontal="center"/>
    </xf>
    <xf numFmtId="165" fontId="0" fillId="0" borderId="0" xfId="0" applyNumberFormat="1" applyAlignment="1">
      <alignment horizontal="center"/>
    </xf>
    <xf numFmtId="165" fontId="0" fillId="0" borderId="9" xfId="0" applyNumberFormat="1" applyBorder="1" applyAlignment="1">
      <alignment horizontal="center"/>
    </xf>
    <xf numFmtId="165" fontId="0" fillId="0" borderId="8" xfId="0" applyNumberFormat="1" applyBorder="1" applyAlignment="1">
      <alignment horizontal="center"/>
    </xf>
    <xf numFmtId="165" fontId="0" fillId="0" borderId="15" xfId="0" applyNumberFormat="1" applyBorder="1" applyAlignment="1">
      <alignment horizontal="center"/>
    </xf>
    <xf numFmtId="0" fontId="2" fillId="0" borderId="13" xfId="10" applyFill="1" applyBorder="1" applyAlignment="1">
      <alignment horizontal="center" vertical="center"/>
    </xf>
    <xf numFmtId="0" fontId="2" fillId="0" borderId="6" xfId="10" applyFill="1" applyBorder="1" applyAlignment="1">
      <alignment horizontal="center" vertical="center"/>
    </xf>
    <xf numFmtId="0" fontId="2" fillId="0" borderId="1" xfId="10" applyFill="1" applyAlignment="1">
      <alignment horizontal="center" vertical="center"/>
    </xf>
    <xf numFmtId="0" fontId="2" fillId="0" borderId="1" xfId="10" applyFill="1" applyAlignment="1">
      <alignment horizontal="center"/>
    </xf>
    <xf numFmtId="0" fontId="2" fillId="0" borderId="7" xfId="10" applyFill="1" applyBorder="1" applyAlignment="1">
      <alignment horizontal="center"/>
    </xf>
    <xf numFmtId="0" fontId="2" fillId="0" borderId="14" xfId="10" applyFill="1" applyBorder="1" applyAlignment="1">
      <alignment horizontal="center"/>
    </xf>
    <xf numFmtId="0" fontId="0" fillId="0" borderId="12" xfId="0" applyBorder="1"/>
    <xf numFmtId="0" fontId="2" fillId="0" borderId="6" xfId="10" applyFill="1" applyBorder="1" applyAlignment="1">
      <alignment horizontal="center"/>
    </xf>
    <xf numFmtId="0" fontId="2" fillId="0" borderId="18" xfId="10" applyFill="1" applyBorder="1" applyAlignment="1">
      <alignment horizontal="center"/>
    </xf>
    <xf numFmtId="0" fontId="2" fillId="0" borderId="8" xfId="10" applyFill="1" applyBorder="1" applyAlignment="1">
      <alignment horizontal="center"/>
    </xf>
    <xf numFmtId="0" fontId="2" fillId="0" borderId="19" xfId="10" applyFill="1" applyBorder="1" applyAlignment="1">
      <alignment horizontal="center"/>
    </xf>
    <xf numFmtId="0" fontId="2" fillId="0" borderId="0" xfId="10" applyFill="1" applyBorder="1" applyAlignment="1">
      <alignment horizontal="center"/>
    </xf>
    <xf numFmtId="0" fontId="2" fillId="0" borderId="9" xfId="10" applyFill="1" applyBorder="1" applyAlignment="1">
      <alignment horizontal="center"/>
    </xf>
    <xf numFmtId="0" fontId="0" fillId="0" borderId="21" xfId="0" applyBorder="1" applyAlignment="1">
      <alignment horizontal="center"/>
    </xf>
    <xf numFmtId="0" fontId="1" fillId="0" borderId="10" xfId="3" applyBorder="1"/>
    <xf numFmtId="0" fontId="1" fillId="0" borderId="12" xfId="3" applyBorder="1"/>
    <xf numFmtId="0" fontId="16" fillId="0" borderId="8" xfId="0" applyFont="1" applyBorder="1"/>
    <xf numFmtId="0" fontId="1" fillId="0" borderId="8" xfId="0" applyFont="1" applyBorder="1"/>
    <xf numFmtId="0" fontId="0" fillId="0" borderId="10" xfId="0" applyBorder="1"/>
    <xf numFmtId="0" fontId="1" fillId="0" borderId="21" xfId="3" applyBorder="1"/>
    <xf numFmtId="0" fontId="1" fillId="0" borderId="22" xfId="3" applyBorder="1"/>
    <xf numFmtId="0" fontId="0" fillId="0" borderId="16" xfId="0" applyBorder="1"/>
    <xf numFmtId="0" fontId="0" fillId="0" borderId="25" xfId="0" applyBorder="1"/>
    <xf numFmtId="0" fontId="0" fillId="3" borderId="9" xfId="0" applyFill="1" applyBorder="1" applyAlignment="1">
      <alignment horizontal="center"/>
    </xf>
    <xf numFmtId="0" fontId="0" fillId="3" borderId="12" xfId="0" applyFill="1" applyBorder="1" applyAlignment="1">
      <alignment horizontal="center"/>
    </xf>
    <xf numFmtId="0" fontId="0" fillId="3" borderId="23" xfId="0" applyFill="1" applyBorder="1" applyAlignment="1">
      <alignment horizontal="center"/>
    </xf>
    <xf numFmtId="0" fontId="1" fillId="3" borderId="8" xfId="3" applyFill="1" applyBorder="1" applyAlignment="1">
      <alignment horizontal="center"/>
    </xf>
    <xf numFmtId="0" fontId="1" fillId="3" borderId="10" xfId="3" applyFill="1" applyBorder="1" applyAlignment="1">
      <alignment horizontal="center"/>
    </xf>
    <xf numFmtId="0" fontId="1" fillId="3" borderId="0" xfId="3" applyFill="1"/>
    <xf numFmtId="0" fontId="1" fillId="3" borderId="11" xfId="3" applyFill="1" applyBorder="1"/>
    <xf numFmtId="0" fontId="1" fillId="3" borderId="9" xfId="3" applyFill="1" applyBorder="1"/>
    <xf numFmtId="0" fontId="1" fillId="3" borderId="12" xfId="3" applyFill="1" applyBorder="1"/>
    <xf numFmtId="0" fontId="0" fillId="3" borderId="26" xfId="0" applyFill="1" applyBorder="1" applyAlignment="1">
      <alignment horizontal="center"/>
    </xf>
    <xf numFmtId="0" fontId="0" fillId="3" borderId="27" xfId="0" applyFill="1" applyBorder="1" applyAlignment="1">
      <alignment horizontal="center"/>
    </xf>
    <xf numFmtId="0" fontId="0" fillId="3" borderId="11" xfId="0" applyFill="1" applyBorder="1" applyAlignment="1">
      <alignment horizontal="center"/>
    </xf>
    <xf numFmtId="0" fontId="1" fillId="3" borderId="27" xfId="3" applyFill="1" applyBorder="1"/>
    <xf numFmtId="0" fontId="0" fillId="3" borderId="29" xfId="0" applyFill="1" applyBorder="1" applyAlignment="1">
      <alignment horizontal="center"/>
    </xf>
    <xf numFmtId="0" fontId="0" fillId="3" borderId="30" xfId="0" applyFill="1" applyBorder="1" applyAlignment="1">
      <alignment horizontal="center"/>
    </xf>
    <xf numFmtId="166" fontId="0" fillId="0" borderId="0" xfId="0" applyNumberFormat="1"/>
    <xf numFmtId="1" fontId="0" fillId="0" borderId="15" xfId="0" applyNumberFormat="1" applyBorder="1" applyAlignment="1">
      <alignment horizontal="center"/>
    </xf>
    <xf numFmtId="1" fontId="0" fillId="0" borderId="0" xfId="0" applyNumberFormat="1"/>
    <xf numFmtId="0" fontId="0" fillId="0" borderId="0" xfId="0" quotePrefix="1"/>
    <xf numFmtId="0" fontId="0" fillId="0" borderId="31" xfId="0" quotePrefix="1" applyBorder="1" applyAlignment="1">
      <alignment horizontal="left" wrapText="1"/>
    </xf>
    <xf numFmtId="0" fontId="0" fillId="0" borderId="16" xfId="0" quotePrefix="1" applyBorder="1" applyAlignment="1">
      <alignment horizontal="left" wrapText="1"/>
    </xf>
    <xf numFmtId="0" fontId="17" fillId="0" borderId="0" xfId="15" quotePrefix="1"/>
    <xf numFmtId="165" fontId="1" fillId="11" borderId="8" xfId="5" applyNumberFormat="1" applyFill="1" applyBorder="1" applyAlignment="1">
      <alignment horizontal="center"/>
    </xf>
    <xf numFmtId="2" fontId="1" fillId="11" borderId="0" xfId="6" applyNumberFormat="1" applyFill="1" applyBorder="1" applyAlignment="1">
      <alignment horizontal="center"/>
    </xf>
    <xf numFmtId="164" fontId="1" fillId="11" borderId="8" xfId="7" applyFill="1" applyBorder="1" applyAlignment="1">
      <alignment horizontal="center"/>
    </xf>
    <xf numFmtId="2" fontId="1" fillId="11" borderId="0" xfId="5" applyNumberFormat="1" applyFill="1" applyBorder="1" applyAlignment="1">
      <alignment horizontal="center"/>
    </xf>
    <xf numFmtId="165" fontId="1" fillId="11" borderId="0" xfId="5" applyNumberFormat="1" applyFill="1" applyBorder="1" applyAlignment="1">
      <alignment horizontal="center"/>
    </xf>
    <xf numFmtId="165" fontId="1" fillId="11" borderId="9" xfId="5" applyNumberFormat="1" applyFill="1" applyBorder="1" applyAlignment="1">
      <alignment horizontal="center"/>
    </xf>
    <xf numFmtId="1" fontId="1" fillId="11" borderId="15" xfId="7" applyNumberFormat="1" applyFill="1" applyBorder="1" applyAlignment="1">
      <alignment horizontal="center"/>
    </xf>
    <xf numFmtId="3" fontId="1" fillId="11" borderId="15" xfId="5" applyNumberFormat="1" applyFill="1" applyBorder="1" applyAlignment="1">
      <alignment horizontal="center"/>
    </xf>
    <xf numFmtId="164" fontId="1" fillId="11" borderId="15" xfId="7" applyFill="1" applyBorder="1" applyAlignment="1">
      <alignment horizontal="center"/>
    </xf>
    <xf numFmtId="164" fontId="1" fillId="9" borderId="8" xfId="1" applyBorder="1" applyAlignment="1">
      <alignment horizontal="center"/>
    </xf>
    <xf numFmtId="164" fontId="1" fillId="9" borderId="15" xfId="1" applyBorder="1" applyAlignment="1">
      <alignment horizontal="center"/>
    </xf>
    <xf numFmtId="165" fontId="15" fillId="10" borderId="8" xfId="5" applyNumberFormat="1" applyFont="1" applyFill="1" applyBorder="1" applyAlignment="1">
      <alignment horizontal="center"/>
    </xf>
    <xf numFmtId="164" fontId="15" fillId="10" borderId="8" xfId="7" applyFont="1" applyFill="1" applyBorder="1" applyAlignment="1">
      <alignment horizontal="center"/>
    </xf>
    <xf numFmtId="2" fontId="15" fillId="10" borderId="0" xfId="5" applyNumberFormat="1" applyFont="1" applyFill="1" applyBorder="1" applyAlignment="1">
      <alignment horizontal="center"/>
    </xf>
    <xf numFmtId="165" fontId="15" fillId="10" borderId="0" xfId="5" applyNumberFormat="1" applyFont="1" applyFill="1" applyBorder="1" applyAlignment="1">
      <alignment horizontal="center"/>
    </xf>
    <xf numFmtId="165" fontId="15" fillId="10" borderId="9" xfId="5" applyNumberFormat="1" applyFont="1" applyFill="1" applyBorder="1" applyAlignment="1">
      <alignment horizontal="center"/>
    </xf>
    <xf numFmtId="1" fontId="15" fillId="10" borderId="15" xfId="7" applyNumberFormat="1" applyFont="1" applyFill="1" applyBorder="1" applyAlignment="1">
      <alignment horizontal="center"/>
    </xf>
    <xf numFmtId="3" fontId="15" fillId="10" borderId="15" xfId="5" applyNumberFormat="1" applyFont="1" applyFill="1" applyBorder="1" applyAlignment="1">
      <alignment horizontal="center"/>
    </xf>
    <xf numFmtId="165" fontId="15" fillId="10" borderId="10" xfId="5" applyNumberFormat="1" applyFont="1" applyFill="1" applyBorder="1" applyAlignment="1">
      <alignment horizontal="center"/>
    </xf>
    <xf numFmtId="164" fontId="15" fillId="10" borderId="10" xfId="7" applyFont="1" applyFill="1" applyBorder="1" applyAlignment="1">
      <alignment horizontal="center"/>
    </xf>
    <xf numFmtId="2" fontId="15" fillId="10" borderId="11" xfId="5" applyNumberFormat="1" applyFont="1" applyFill="1" applyBorder="1" applyAlignment="1">
      <alignment horizontal="center"/>
    </xf>
    <xf numFmtId="165" fontId="15" fillId="10" borderId="11" xfId="5" applyNumberFormat="1" applyFont="1" applyFill="1" applyBorder="1" applyAlignment="1">
      <alignment horizontal="center"/>
    </xf>
    <xf numFmtId="165" fontId="15" fillId="10" borderId="12" xfId="5" applyNumberFormat="1" applyFont="1" applyFill="1" applyBorder="1" applyAlignment="1">
      <alignment horizontal="center"/>
    </xf>
    <xf numFmtId="1" fontId="15" fillId="10" borderId="16" xfId="7" applyNumberFormat="1" applyFont="1" applyFill="1" applyBorder="1" applyAlignment="1">
      <alignment horizontal="center"/>
    </xf>
    <xf numFmtId="3" fontId="15" fillId="10" borderId="16" xfId="5" applyNumberFormat="1" applyFont="1" applyFill="1" applyBorder="1" applyAlignment="1">
      <alignment horizontal="center"/>
    </xf>
    <xf numFmtId="2" fontId="15" fillId="10" borderId="0" xfId="6" applyNumberFormat="1" applyFont="1" applyFill="1" applyBorder="1" applyAlignment="1">
      <alignment horizontal="center"/>
    </xf>
    <xf numFmtId="164" fontId="15" fillId="10" borderId="0" xfId="7" applyFont="1" applyFill="1" applyBorder="1" applyAlignment="1">
      <alignment horizontal="center"/>
    </xf>
    <xf numFmtId="2" fontId="15" fillId="10" borderId="11" xfId="6" applyNumberFormat="1" applyFont="1" applyFill="1" applyBorder="1" applyAlignment="1">
      <alignment horizontal="center"/>
    </xf>
    <xf numFmtId="165" fontId="15" fillId="10" borderId="0" xfId="0" applyNumberFormat="1" applyFont="1" applyFill="1" applyAlignment="1">
      <alignment horizontal="center"/>
    </xf>
    <xf numFmtId="164" fontId="15" fillId="10" borderId="11" xfId="7" applyFont="1" applyFill="1" applyBorder="1" applyAlignment="1">
      <alignment horizontal="center"/>
    </xf>
    <xf numFmtId="165" fontId="15" fillId="10" borderId="11" xfId="0" applyNumberFormat="1" applyFont="1" applyFill="1" applyBorder="1" applyAlignment="1">
      <alignment horizontal="center"/>
    </xf>
    <xf numFmtId="164" fontId="15" fillId="10" borderId="28" xfId="7" applyFont="1" applyFill="1" applyBorder="1" applyAlignment="1">
      <alignment horizontal="center"/>
    </xf>
    <xf numFmtId="2" fontId="15" fillId="10" borderId="29" xfId="5" applyNumberFormat="1" applyFont="1" applyFill="1" applyBorder="1" applyAlignment="1">
      <alignment horizontal="center"/>
    </xf>
    <xf numFmtId="165" fontId="15" fillId="10" borderId="24" xfId="7" applyNumberFormat="1" applyFont="1" applyFill="1" applyBorder="1" applyAlignment="1">
      <alignment horizontal="center"/>
    </xf>
    <xf numFmtId="1" fontId="1" fillId="9" borderId="15" xfId="1" applyNumberFormat="1" applyBorder="1" applyAlignment="1">
      <alignment horizontal="center"/>
    </xf>
    <xf numFmtId="164" fontId="1" fillId="11" borderId="16" xfId="7" applyFill="1" applyBorder="1" applyAlignment="1">
      <alignment horizontal="center"/>
    </xf>
    <xf numFmtId="164" fontId="1" fillId="11" borderId="9" xfId="7" applyFill="1" applyBorder="1" applyAlignment="1">
      <alignment horizontal="center"/>
    </xf>
    <xf numFmtId="164" fontId="1" fillId="11" borderId="12" xfId="7" applyFill="1" applyBorder="1" applyAlignment="1">
      <alignment horizontal="center"/>
    </xf>
    <xf numFmtId="164" fontId="1" fillId="11" borderId="0" xfId="7" applyFill="1" applyBorder="1" applyAlignment="1">
      <alignment horizontal="center"/>
    </xf>
    <xf numFmtId="2" fontId="1" fillId="11" borderId="11" xfId="6" applyNumberFormat="1" applyFill="1" applyBorder="1" applyAlignment="1">
      <alignment horizontal="center"/>
    </xf>
    <xf numFmtId="164" fontId="1" fillId="11" borderId="11" xfId="7" applyFill="1" applyBorder="1" applyAlignment="1">
      <alignment horizontal="center"/>
    </xf>
    <xf numFmtId="2" fontId="1" fillId="11" borderId="11" xfId="5" applyNumberFormat="1" applyFill="1" applyBorder="1" applyAlignment="1">
      <alignment horizontal="center"/>
    </xf>
    <xf numFmtId="165" fontId="1" fillId="11" borderId="11" xfId="5" applyNumberFormat="1" applyFill="1" applyBorder="1" applyAlignment="1">
      <alignment horizontal="center"/>
    </xf>
    <xf numFmtId="165" fontId="1" fillId="9" borderId="8" xfId="1" applyNumberFormat="1" applyBorder="1" applyAlignment="1">
      <alignment horizontal="center"/>
    </xf>
    <xf numFmtId="164" fontId="1" fillId="9" borderId="0" xfId="1" applyBorder="1" applyAlignment="1">
      <alignment horizontal="left"/>
    </xf>
    <xf numFmtId="164" fontId="15" fillId="10" borderId="0" xfId="6" applyFont="1" applyFill="1" applyBorder="1" applyAlignment="1">
      <alignment horizontal="left"/>
    </xf>
    <xf numFmtId="2" fontId="15" fillId="10" borderId="0" xfId="8" applyNumberFormat="1" applyFont="1" applyFill="1"/>
    <xf numFmtId="2" fontId="1" fillId="11" borderId="9" xfId="5" applyNumberFormat="1" applyFill="1" applyBorder="1" applyAlignment="1">
      <alignment horizontal="center"/>
    </xf>
    <xf numFmtId="2" fontId="1" fillId="9" borderId="9" xfId="1" applyNumberFormat="1" applyBorder="1" applyAlignment="1">
      <alignment horizontal="center"/>
    </xf>
    <xf numFmtId="2" fontId="15" fillId="10" borderId="9" xfId="5" applyNumberFormat="1" applyFont="1" applyFill="1" applyBorder="1" applyAlignment="1">
      <alignment horizontal="center"/>
    </xf>
    <xf numFmtId="2" fontId="15" fillId="10" borderId="12" xfId="5" applyNumberFormat="1" applyFont="1" applyFill="1" applyBorder="1" applyAlignment="1">
      <alignment horizontal="center"/>
    </xf>
    <xf numFmtId="2" fontId="1" fillId="9" borderId="0" xfId="1" applyNumberFormat="1" applyBorder="1" applyAlignment="1">
      <alignment horizontal="center"/>
    </xf>
    <xf numFmtId="0" fontId="16" fillId="0" borderId="0" xfId="0" quotePrefix="1" applyFont="1"/>
    <xf numFmtId="3" fontId="1" fillId="9" borderId="15" xfId="1" applyNumberFormat="1" applyBorder="1" applyAlignment="1">
      <alignment horizontal="center"/>
    </xf>
    <xf numFmtId="0" fontId="2" fillId="0" borderId="8" xfId="10" applyFill="1" applyBorder="1" applyAlignment="1">
      <alignment horizontal="center" vertical="center"/>
    </xf>
    <xf numFmtId="0" fontId="2" fillId="0" borderId="0" xfId="10" applyFill="1" applyBorder="1" applyAlignment="1">
      <alignment horizontal="center" vertical="center"/>
    </xf>
    <xf numFmtId="0" fontId="2" fillId="0" borderId="15" xfId="10" applyFill="1" applyBorder="1" applyAlignment="1">
      <alignment horizontal="center"/>
    </xf>
    <xf numFmtId="0" fontId="2" fillId="0" borderId="9" xfId="10" applyFill="1" applyBorder="1" applyAlignment="1">
      <alignment horizontal="center" vertical="center"/>
    </xf>
    <xf numFmtId="0" fontId="0" fillId="3" borderId="0" xfId="0" applyFill="1" applyAlignment="1">
      <alignment horizontal="center"/>
    </xf>
    <xf numFmtId="0" fontId="16" fillId="0" borderId="0" xfId="0" applyFont="1"/>
    <xf numFmtId="0" fontId="16" fillId="0" borderId="8" xfId="3" applyFont="1" applyBorder="1"/>
    <xf numFmtId="0" fontId="2" fillId="0" borderId="9" xfId="10" applyBorder="1" applyAlignment="1">
      <alignment horizontal="center" vertical="center"/>
    </xf>
    <xf numFmtId="0" fontId="1" fillId="0" borderId="20" xfId="3" applyBorder="1"/>
    <xf numFmtId="0" fontId="1" fillId="0" borderId="8" xfId="3" applyBorder="1"/>
    <xf numFmtId="0" fontId="1" fillId="0" borderId="9" xfId="3" applyBorder="1"/>
    <xf numFmtId="0" fontId="1" fillId="3" borderId="8" xfId="3" applyFill="1" applyBorder="1"/>
    <xf numFmtId="0" fontId="1" fillId="3" borderId="10" xfId="3" applyFill="1" applyBorder="1"/>
    <xf numFmtId="0" fontId="16" fillId="0" borderId="15" xfId="0" applyFont="1" applyBorder="1"/>
    <xf numFmtId="165" fontId="1" fillId="10" borderId="24" xfId="7" applyNumberFormat="1" applyFill="1" applyBorder="1" applyAlignment="1">
      <alignment horizontal="center"/>
    </xf>
    <xf numFmtId="0" fontId="17" fillId="3" borderId="0" xfId="15" applyFill="1" applyAlignment="1">
      <alignment horizontal="left" vertical="top" wrapText="1"/>
    </xf>
    <xf numFmtId="1" fontId="1" fillId="12" borderId="0" xfId="1" applyNumberFormat="1" applyFill="1"/>
    <xf numFmtId="0" fontId="10" fillId="3" borderId="0" xfId="0" quotePrefix="1" applyFont="1" applyFill="1" applyAlignment="1">
      <alignment horizontal="left" vertical="top" wrapText="1"/>
    </xf>
    <xf numFmtId="2" fontId="1" fillId="13" borderId="0" xfId="1" applyNumberFormat="1" applyFill="1"/>
    <xf numFmtId="1" fontId="1" fillId="14" borderId="0" xfId="1" applyNumberFormat="1" applyFill="1"/>
    <xf numFmtId="0" fontId="6" fillId="3" borderId="0" xfId="0" applyFont="1" applyFill="1" applyAlignment="1">
      <alignment horizontal="left" vertical="top" wrapText="1"/>
    </xf>
    <xf numFmtId="165" fontId="1" fillId="15" borderId="8" xfId="5" applyNumberFormat="1" applyFill="1" applyBorder="1" applyAlignment="1">
      <alignment horizontal="center"/>
    </xf>
    <xf numFmtId="165" fontId="15" fillId="15" borderId="8" xfId="5" applyNumberFormat="1" applyFont="1" applyFill="1" applyBorder="1" applyAlignment="1">
      <alignment horizontal="center"/>
    </xf>
    <xf numFmtId="2" fontId="15" fillId="15" borderId="0" xfId="6" applyNumberFormat="1" applyFont="1" applyFill="1" applyBorder="1" applyAlignment="1">
      <alignment horizontal="center"/>
    </xf>
    <xf numFmtId="164" fontId="15" fillId="15" borderId="0" xfId="7" applyFont="1" applyFill="1" applyBorder="1" applyAlignment="1">
      <alignment horizontal="center"/>
    </xf>
    <xf numFmtId="2" fontId="15" fillId="15" borderId="0" xfId="5" applyNumberFormat="1" applyFont="1" applyFill="1" applyBorder="1" applyAlignment="1">
      <alignment horizontal="center"/>
    </xf>
    <xf numFmtId="165" fontId="15" fillId="15" borderId="0" xfId="5" applyNumberFormat="1" applyFont="1" applyFill="1" applyBorder="1" applyAlignment="1">
      <alignment horizontal="center"/>
    </xf>
    <xf numFmtId="2" fontId="15" fillId="15" borderId="0" xfId="8" applyNumberFormat="1" applyFont="1" applyFill="1"/>
    <xf numFmtId="164" fontId="1" fillId="15" borderId="0" xfId="0" applyNumberFormat="1" applyFont="1" applyFill="1"/>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horizontal="left" vertical="top" wrapText="1"/>
    </xf>
    <xf numFmtId="0" fontId="11" fillId="3" borderId="0" xfId="0" applyFont="1" applyFill="1" applyAlignment="1">
      <alignment horizontal="left" vertical="top"/>
    </xf>
    <xf numFmtId="0" fontId="12" fillId="3" borderId="0" xfId="0" applyFont="1" applyFill="1" applyAlignment="1">
      <alignment horizontal="left" vertical="top"/>
    </xf>
    <xf numFmtId="0" fontId="2" fillId="0" borderId="20" xfId="10" applyBorder="1" applyAlignment="1">
      <alignment horizontal="left" vertical="center"/>
    </xf>
    <xf numFmtId="0" fontId="2" fillId="0" borderId="6" xfId="10" applyBorder="1" applyAlignment="1">
      <alignment horizontal="left" vertical="center"/>
    </xf>
    <xf numFmtId="0" fontId="2" fillId="0" borderId="3" xfId="10" applyBorder="1" applyAlignment="1">
      <alignment horizontal="center" vertical="center"/>
    </xf>
    <xf numFmtId="0" fontId="2" fillId="0" borderId="4" xfId="10" applyBorder="1" applyAlignment="1">
      <alignment horizontal="center" vertical="center"/>
    </xf>
    <xf numFmtId="0" fontId="2" fillId="0" borderId="5" xfId="10" applyBorder="1" applyAlignment="1">
      <alignment horizontal="center" vertical="center"/>
    </xf>
    <xf numFmtId="0" fontId="2" fillId="0" borderId="17" xfId="10" applyBorder="1" applyAlignment="1">
      <alignment horizontal="center" vertical="center"/>
    </xf>
    <xf numFmtId="0" fontId="2" fillId="0" borderId="14" xfId="10" applyBorder="1" applyAlignment="1">
      <alignment horizontal="center" vertical="center"/>
    </xf>
    <xf numFmtId="0" fontId="2" fillId="0" borderId="22" xfId="10" applyBorder="1" applyAlignment="1">
      <alignment horizontal="center" vertical="center"/>
    </xf>
    <xf numFmtId="0" fontId="2" fillId="0" borderId="7" xfId="10" applyBorder="1" applyAlignment="1">
      <alignment horizontal="center" vertical="center"/>
    </xf>
    <xf numFmtId="0" fontId="2" fillId="0" borderId="17" xfId="10" applyBorder="1" applyAlignment="1">
      <alignment horizontal="left" vertical="center"/>
    </xf>
    <xf numFmtId="0" fontId="2" fillId="0" borderId="14" xfId="10" applyBorder="1" applyAlignment="1">
      <alignment horizontal="left" vertical="center"/>
    </xf>
    <xf numFmtId="0" fontId="2" fillId="0" borderId="22" xfId="10" applyFill="1" applyBorder="1" applyAlignment="1">
      <alignment horizontal="center" vertical="center"/>
    </xf>
    <xf numFmtId="0" fontId="2" fillId="0" borderId="7" xfId="10" applyFill="1" applyBorder="1" applyAlignment="1">
      <alignment horizontal="center" vertical="center"/>
    </xf>
    <xf numFmtId="0" fontId="2" fillId="0" borderId="17" xfId="10" applyBorder="1" applyAlignment="1">
      <alignment horizontal="center"/>
    </xf>
    <xf numFmtId="0" fontId="2" fillId="0" borderId="15" xfId="10" applyBorder="1" applyAlignment="1">
      <alignment horizontal="center"/>
    </xf>
    <xf numFmtId="0" fontId="2" fillId="0" borderId="22" xfId="10" applyFill="1" applyBorder="1" applyAlignment="1">
      <alignment horizontal="center"/>
    </xf>
    <xf numFmtId="0" fontId="2" fillId="0" borderId="7" xfId="10" applyFill="1" applyBorder="1" applyAlignment="1">
      <alignment horizontal="center"/>
    </xf>
    <xf numFmtId="0" fontId="2" fillId="0" borderId="3" xfId="10" applyFill="1" applyBorder="1" applyAlignment="1">
      <alignment horizontal="center" vertical="center"/>
    </xf>
    <xf numFmtId="0" fontId="2" fillId="0" borderId="4" xfId="10" applyFill="1" applyBorder="1" applyAlignment="1">
      <alignment horizontal="center" vertical="center"/>
    </xf>
    <xf numFmtId="0" fontId="2" fillId="0" borderId="5" xfId="10" applyFill="1" applyBorder="1" applyAlignment="1">
      <alignment horizontal="center" vertical="center"/>
    </xf>
  </cellXfs>
  <cellStyles count="16">
    <cellStyle name="20% - Accent1" xfId="2" builtinId="30"/>
    <cellStyle name="Calculation 1" xfId="4" xr:uid="{00000000-0005-0000-0000-000001000000}"/>
    <cellStyle name="Calculation 2" xfId="5" xr:uid="{00000000-0005-0000-0000-000002000000}"/>
    <cellStyle name="Constant" xfId="1" xr:uid="{00000000-0005-0000-0000-000003000000}"/>
    <cellStyle name="Data" xfId="3" xr:uid="{00000000-0005-0000-0000-000004000000}"/>
    <cellStyle name="Heading" xfId="10" xr:uid="{00000000-0005-0000-0000-000005000000}"/>
    <cellStyle name="Heading 3" xfId="14" builtinId="18"/>
    <cellStyle name="Hyperlink" xfId="15" builtinId="8"/>
    <cellStyle name="Input Assumption" xfId="9" xr:uid="{00000000-0005-0000-0000-000006000000}"/>
    <cellStyle name="Linked (External)" xfId="8" xr:uid="{00000000-0005-0000-0000-000007000000}"/>
    <cellStyle name="Linked Cell 1" xfId="6" xr:uid="{00000000-0005-0000-0000-000008000000}"/>
    <cellStyle name="Linked Cell 2" xfId="7" xr:uid="{00000000-0005-0000-0000-000009000000}"/>
    <cellStyle name="Normal" xfId="0" builtinId="0"/>
    <cellStyle name="Section title" xfId="13" xr:uid="{00000000-0005-0000-0000-00000B000000}"/>
    <cellStyle name="Warning" xfId="11" xr:uid="{00000000-0005-0000-0000-00000C000000}"/>
    <cellStyle name="Worksheet Title" xfId="12" xr:uid="{00000000-0005-0000-0000-00000D000000}"/>
  </cellStyles>
  <dxfs count="0"/>
  <tableStyles count="0" defaultTableStyle="TableStyleMedium2" defaultPivotStyle="PivotStyleLight16"/>
  <colors>
    <mruColors>
      <color rgb="FFFDE9D9"/>
      <color rgb="FFA7BF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3943349</xdr:colOff>
      <xdr:row>3</xdr:row>
      <xdr:rowOff>114300</xdr:rowOff>
    </xdr:from>
    <xdr:to>
      <xdr:col>3</xdr:col>
      <xdr:colOff>6019800</xdr:colOff>
      <xdr:row>5</xdr:row>
      <xdr:rowOff>198653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7074" y="676275"/>
          <a:ext cx="2076451" cy="5383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9B6CB2-31C9-4B99-9DF5-D79DAD3C0A03}" name="road_petrol_blend" displayName="road_petrol_blend" ref="A1:D26" totalsRowShown="0">
  <autoFilter ref="A1:D26" xr:uid="{CB9B6CB2-31C9-4B99-9DF5-D79DAD3C0A03}"/>
  <tableColumns count="4">
    <tableColumn id="1" xr3:uid="{CF760477-E47F-45C5-B1C1-BA2C15B4C864}" name="Year"/>
    <tableColumn id="2" xr3:uid="{1989E7BC-24C0-44DF-BB95-222E6B12660E}" name="Blend_kg_l"/>
    <tableColumn id="3" xr3:uid="{B3ED642E-F987-4240-A727-BDDDC3A5CDC0}" name="Blend_mj_kg"/>
    <tableColumn id="4" xr3:uid="{26FDE87D-36EB-46E4-B800-7CC466A8DE23}" name="Blend_gCO2_kW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1E6E44-C13A-44EF-B17E-3D3ACF767FB4}" name="road_diesel_blend" displayName="road_diesel_blend" ref="A1:D26" totalsRowShown="0">
  <autoFilter ref="A1:D26" xr:uid="{ED1E6E44-C13A-44EF-B17E-3D3ACF767FB4}"/>
  <tableColumns count="4">
    <tableColumn id="1" xr3:uid="{7C419011-F8F0-4E1F-9EE9-09C575BB7EE4}" name="Year"/>
    <tableColumn id="2" xr3:uid="{8D7BB63F-5110-4C8B-BB56-92D2E1FB489C}" name="Blend_kg_l"/>
    <tableColumn id="3" xr3:uid="{24AAE62C-985F-4F16-A541-DEC4A8701C0F}" name="Blend_mj_kg"/>
    <tableColumn id="4" xr3:uid="{875DAA0F-89AC-45CE-8181-9211171A4E24}" name="Blend_gCO2_kW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274DB8-E0B1-49CE-B034-20E73186D215}" name="GHG_elec" displayName="GHG_elec" ref="A1:C26" totalsRowShown="0">
  <autoFilter ref="A1:C26" xr:uid="{4D274DB8-E0B1-49CE-B034-20E73186D215}"/>
  <tableColumns count="3">
    <tableColumn id="1" xr3:uid="{D573CF5B-294B-436B-A0DC-5588DC2691D1}" name="Year"/>
    <tableColumn id="2" xr3:uid="{F11E0BB3-225C-409F-A580-827112D783F7}" name="Electricity_AFC_gCO2_kWh"/>
    <tableColumn id="3" xr3:uid="{2AEFF565-EB13-43CC-A68F-DB3143D5C542}" name="Gross_Electricity_Supply_gCO2_kW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pssu@seai.i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epa.ie/publications/monitoring--assessment/climate-change/air-emission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pageSetUpPr fitToPage="1"/>
  </sheetPr>
  <dimension ref="B2:E23"/>
  <sheetViews>
    <sheetView workbookViewId="0"/>
  </sheetViews>
  <sheetFormatPr defaultColWidth="9.1796875" defaultRowHeight="13" x14ac:dyDescent="0.35"/>
  <cols>
    <col min="1" max="1" width="9.1796875" style="1"/>
    <col min="2" max="2" width="18.81640625" style="1" customWidth="1"/>
    <col min="3" max="3" width="20.1796875" style="1" customWidth="1"/>
    <col min="4" max="4" width="92.26953125" style="1" customWidth="1"/>
    <col min="5" max="5" width="9.1796875" style="1"/>
    <col min="6" max="6" width="9.453125" style="1" customWidth="1"/>
    <col min="7" max="16384" width="9.1796875" style="1"/>
  </cols>
  <sheetData>
    <row r="2" spans="2:5" ht="17.5" thickBot="1" x14ac:dyDescent="0.45">
      <c r="B2" s="10" t="s">
        <v>0</v>
      </c>
      <c r="C2" s="10"/>
      <c r="D2" s="10"/>
    </row>
    <row r="3" spans="2:5" ht="13.5" thickTop="1" x14ac:dyDescent="0.35"/>
    <row r="4" spans="2:5" ht="18" customHeight="1" x14ac:dyDescent="0.35">
      <c r="B4" s="22" t="s">
        <v>1</v>
      </c>
      <c r="C4" s="13"/>
      <c r="D4" s="13"/>
    </row>
    <row r="5" spans="2:5" ht="18" customHeight="1" x14ac:dyDescent="0.35">
      <c r="B5" s="14" t="s">
        <v>2</v>
      </c>
      <c r="C5" s="187" t="s">
        <v>3</v>
      </c>
      <c r="D5" s="187"/>
      <c r="E5" s="2"/>
    </row>
    <row r="6" spans="2:5" ht="30.75" customHeight="1" x14ac:dyDescent="0.35">
      <c r="B6" s="15" t="s">
        <v>4</v>
      </c>
      <c r="C6" s="188" t="s">
        <v>5</v>
      </c>
      <c r="D6" s="188"/>
      <c r="E6" s="3"/>
    </row>
    <row r="7" spans="2:5" ht="26" x14ac:dyDescent="0.35">
      <c r="B7" s="21" t="s">
        <v>6</v>
      </c>
      <c r="C7" s="13" t="s">
        <v>7</v>
      </c>
      <c r="D7" s="16"/>
    </row>
    <row r="8" spans="2:5" x14ac:dyDescent="0.35">
      <c r="B8" s="189"/>
      <c r="C8" s="190"/>
      <c r="D8" s="190"/>
    </row>
    <row r="9" spans="2:5" x14ac:dyDescent="0.35">
      <c r="B9" s="4"/>
    </row>
    <row r="10" spans="2:5" ht="15.5" x14ac:dyDescent="0.35">
      <c r="B10" s="17" t="s">
        <v>8</v>
      </c>
      <c r="C10" s="23"/>
      <c r="D10" s="17"/>
    </row>
    <row r="11" spans="2:5" ht="15.5" x14ac:dyDescent="0.35">
      <c r="B11" s="17"/>
      <c r="C11" s="24" t="s">
        <v>9</v>
      </c>
      <c r="D11" s="24" t="s">
        <v>10</v>
      </c>
    </row>
    <row r="12" spans="2:5" ht="27" customHeight="1" x14ac:dyDescent="0.35">
      <c r="B12" s="18" t="s">
        <v>11</v>
      </c>
      <c r="C12" s="19">
        <v>45089</v>
      </c>
      <c r="D12" s="20" t="s">
        <v>12</v>
      </c>
    </row>
    <row r="13" spans="2:5" ht="27" customHeight="1" x14ac:dyDescent="0.35">
      <c r="B13" s="18" t="s">
        <v>13</v>
      </c>
      <c r="C13" s="19">
        <v>45201</v>
      </c>
      <c r="D13" s="20" t="s">
        <v>14</v>
      </c>
    </row>
    <row r="14" spans="2:5" ht="40.5" customHeight="1" x14ac:dyDescent="0.35">
      <c r="B14" s="18" t="s">
        <v>15</v>
      </c>
      <c r="C14" s="19">
        <v>45293</v>
      </c>
      <c r="D14" s="20" t="s">
        <v>16</v>
      </c>
    </row>
    <row r="15" spans="2:5" ht="40.5" customHeight="1" x14ac:dyDescent="0.35">
      <c r="B15" s="18" t="s">
        <v>17</v>
      </c>
      <c r="C15" s="19">
        <v>45443</v>
      </c>
      <c r="D15" s="20" t="s">
        <v>18</v>
      </c>
    </row>
    <row r="16" spans="2:5" ht="40.5" customHeight="1" x14ac:dyDescent="0.35">
      <c r="B16" s="18" t="s">
        <v>19</v>
      </c>
      <c r="C16" s="19">
        <v>45740</v>
      </c>
      <c r="D16" s="174" t="s">
        <v>20</v>
      </c>
    </row>
    <row r="17" spans="2:4" ht="40.5" customHeight="1" x14ac:dyDescent="0.35">
      <c r="B17" s="18" t="s">
        <v>21</v>
      </c>
      <c r="C17" s="19">
        <v>45827</v>
      </c>
      <c r="D17" s="174" t="s">
        <v>22</v>
      </c>
    </row>
    <row r="18" spans="2:4" ht="40.5" customHeight="1" x14ac:dyDescent="0.35">
      <c r="B18" s="177" t="s">
        <v>135</v>
      </c>
      <c r="C18" s="19">
        <v>46008</v>
      </c>
      <c r="D18" s="174" t="s">
        <v>138</v>
      </c>
    </row>
    <row r="19" spans="2:4" ht="40.5" customHeight="1" x14ac:dyDescent="0.35">
      <c r="B19" s="186" t="s">
        <v>141</v>
      </c>
      <c r="C19" s="19">
        <v>46192</v>
      </c>
      <c r="D19" s="174" t="s">
        <v>148</v>
      </c>
    </row>
    <row r="20" spans="2:4" ht="15.5" x14ac:dyDescent="0.35">
      <c r="B20" s="5"/>
      <c r="C20" s="6"/>
      <c r="D20" s="6"/>
    </row>
    <row r="21" spans="2:4" ht="15.5" x14ac:dyDescent="0.35">
      <c r="B21" s="17" t="s">
        <v>23</v>
      </c>
      <c r="C21" s="18"/>
      <c r="D21" s="18"/>
    </row>
    <row r="22" spans="2:4" x14ac:dyDescent="0.35">
      <c r="B22" s="21" t="s">
        <v>24</v>
      </c>
      <c r="C22" s="18" t="s">
        <v>25</v>
      </c>
      <c r="D22" s="18"/>
    </row>
    <row r="23" spans="2:4" ht="14.5" x14ac:dyDescent="0.35">
      <c r="B23" s="21" t="s">
        <v>26</v>
      </c>
      <c r="C23" s="172" t="s">
        <v>27</v>
      </c>
      <c r="D23" s="18"/>
    </row>
  </sheetData>
  <mergeCells count="3">
    <mergeCell ref="C5:D5"/>
    <mergeCell ref="C6:D6"/>
    <mergeCell ref="B8:D8"/>
  </mergeCells>
  <hyperlinks>
    <hyperlink ref="C23" r:id="rId1" xr:uid="{6EEEC5B2-FB0C-4026-9924-D1ED5BEC41CE}"/>
  </hyperlinks>
  <pageMargins left="0.70866141732283472" right="0.70866141732283472" top="0.74803149606299213" bottom="0.74803149606299213" header="0.31496062992125984" footer="0.31496062992125984"/>
  <pageSetup paperSize="9" scale="3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2581-A5C3-4343-A8EE-B448F2A2B9F3}">
  <dimension ref="B2:N69"/>
  <sheetViews>
    <sheetView tabSelected="1" zoomScaleNormal="100" workbookViewId="0"/>
  </sheetViews>
  <sheetFormatPr defaultColWidth="9.1796875" defaultRowHeight="14.5" x14ac:dyDescent="0.35"/>
  <cols>
    <col min="2" max="2" width="30.453125" bestFit="1" customWidth="1"/>
    <col min="3" max="5" width="10.54296875" customWidth="1"/>
    <col min="6" max="6" width="11.7265625" bestFit="1" customWidth="1"/>
    <col min="7" max="12" width="10.54296875" customWidth="1"/>
    <col min="13" max="13" width="53.81640625" customWidth="1"/>
    <col min="14" max="14" width="6.54296875" customWidth="1"/>
  </cols>
  <sheetData>
    <row r="2" spans="2:14" ht="17.5" thickBot="1" x14ac:dyDescent="0.45">
      <c r="B2" s="10" t="s">
        <v>28</v>
      </c>
      <c r="C2" s="10"/>
      <c r="D2" s="10">
        <v>2025</v>
      </c>
      <c r="E2" s="10"/>
      <c r="F2" s="10"/>
      <c r="G2" s="10"/>
      <c r="H2" s="10"/>
      <c r="I2" s="10"/>
      <c r="J2" s="10"/>
      <c r="K2" s="10"/>
      <c r="L2" s="10"/>
      <c r="M2" s="10"/>
      <c r="N2" s="10"/>
    </row>
    <row r="3" spans="2:14" ht="15" thickTop="1" x14ac:dyDescent="0.35">
      <c r="B3" s="41" t="s">
        <v>29</v>
      </c>
      <c r="C3" s="9"/>
      <c r="D3" s="9"/>
      <c r="E3" s="9"/>
      <c r="F3" s="9"/>
      <c r="G3" s="9"/>
      <c r="H3" s="9"/>
      <c r="I3" s="9"/>
      <c r="J3" s="9"/>
      <c r="K3" s="9"/>
      <c r="L3" s="9"/>
      <c r="M3" s="9"/>
      <c r="N3" s="9"/>
    </row>
    <row r="5" spans="2:14" ht="15" thickBot="1" x14ac:dyDescent="0.4">
      <c r="B5" s="12" t="s">
        <v>30</v>
      </c>
      <c r="C5" s="8"/>
      <c r="D5" s="8"/>
      <c r="E5" s="8"/>
      <c r="F5" s="8"/>
      <c r="G5" s="8"/>
      <c r="H5" s="8"/>
      <c r="I5" s="8"/>
      <c r="J5" s="8"/>
      <c r="K5" s="8"/>
      <c r="L5" s="8"/>
      <c r="M5" s="8"/>
      <c r="N5" s="8"/>
    </row>
    <row r="6" spans="2:14" x14ac:dyDescent="0.35">
      <c r="B6" s="99" t="s">
        <v>31</v>
      </c>
    </row>
    <row r="7" spans="2:14" x14ac:dyDescent="0.35">
      <c r="B7" s="99" t="s">
        <v>32</v>
      </c>
    </row>
    <row r="8" spans="2:14" x14ac:dyDescent="0.35">
      <c r="B8" s="99" t="s">
        <v>33</v>
      </c>
    </row>
    <row r="9" spans="2:14" x14ac:dyDescent="0.35">
      <c r="B9" s="99"/>
    </row>
    <row r="10" spans="2:14" ht="15" thickBot="1" x14ac:dyDescent="0.4">
      <c r="B10" s="12" t="s">
        <v>34</v>
      </c>
    </row>
    <row r="11" spans="2:14" x14ac:dyDescent="0.35">
      <c r="B11" s="99" t="s">
        <v>35</v>
      </c>
    </row>
    <row r="12" spans="2:14" x14ac:dyDescent="0.35">
      <c r="B12" s="99" t="s">
        <v>36</v>
      </c>
    </row>
    <row r="13" spans="2:14" x14ac:dyDescent="0.35">
      <c r="B13" s="99" t="s">
        <v>37</v>
      </c>
    </row>
    <row r="14" spans="2:14" x14ac:dyDescent="0.35">
      <c r="B14" s="99"/>
    </row>
    <row r="15" spans="2:14" ht="15" thickBot="1" x14ac:dyDescent="0.4">
      <c r="B15" s="12" t="s">
        <v>38</v>
      </c>
    </row>
    <row r="16" spans="2:14" x14ac:dyDescent="0.35">
      <c r="B16" s="147" t="s">
        <v>39</v>
      </c>
      <c r="C16" s="147"/>
      <c r="D16" s="147"/>
    </row>
    <row r="17" spans="2:14" x14ac:dyDescent="0.35">
      <c r="B17" s="148" t="s">
        <v>40</v>
      </c>
      <c r="C17" s="148"/>
      <c r="D17" s="148"/>
    </row>
    <row r="18" spans="2:14" ht="15" thickBot="1" x14ac:dyDescent="0.4"/>
    <row r="19" spans="2:14" ht="15" thickBot="1" x14ac:dyDescent="0.4">
      <c r="B19" s="191" t="s">
        <v>41</v>
      </c>
      <c r="C19" s="193" t="s">
        <v>42</v>
      </c>
      <c r="D19" s="194"/>
      <c r="E19" s="195"/>
      <c r="F19" s="193" t="s">
        <v>43</v>
      </c>
      <c r="G19" s="194"/>
      <c r="H19" s="194"/>
      <c r="I19" s="195"/>
      <c r="J19" s="40" t="s">
        <v>44</v>
      </c>
      <c r="K19" s="40" t="s">
        <v>45</v>
      </c>
      <c r="L19" s="58" t="s">
        <v>46</v>
      </c>
      <c r="M19" s="196" t="s">
        <v>47</v>
      </c>
      <c r="N19" s="198" t="s">
        <v>48</v>
      </c>
    </row>
    <row r="20" spans="2:14" ht="15" thickBot="1" x14ac:dyDescent="0.4">
      <c r="B20" s="192"/>
      <c r="C20" s="37" t="s">
        <v>49</v>
      </c>
      <c r="D20" s="38" t="s">
        <v>50</v>
      </c>
      <c r="E20" s="39" t="s">
        <v>51</v>
      </c>
      <c r="F20" s="37" t="s">
        <v>52</v>
      </c>
      <c r="G20" s="38" t="s">
        <v>53</v>
      </c>
      <c r="H20" s="38" t="s">
        <v>54</v>
      </c>
      <c r="I20" s="39" t="s">
        <v>55</v>
      </c>
      <c r="J20" s="43" t="s">
        <v>56</v>
      </c>
      <c r="K20" s="43" t="s">
        <v>57</v>
      </c>
      <c r="L20" s="43" t="s">
        <v>58</v>
      </c>
      <c r="M20" s="197"/>
      <c r="N20" s="199"/>
    </row>
    <row r="21" spans="2:14" x14ac:dyDescent="0.35">
      <c r="B21" s="74" t="s">
        <v>59</v>
      </c>
      <c r="C21" s="46"/>
      <c r="D21" s="51"/>
      <c r="E21" s="52"/>
      <c r="F21" s="46"/>
      <c r="G21" s="51"/>
      <c r="H21" s="51"/>
      <c r="I21" s="52"/>
      <c r="J21" s="53"/>
      <c r="K21" s="53"/>
      <c r="L21" s="53"/>
      <c r="M21" s="36"/>
      <c r="N21" s="45"/>
    </row>
    <row r="22" spans="2:14" x14ac:dyDescent="0.35">
      <c r="B22" s="75" t="s">
        <v>60</v>
      </c>
      <c r="C22" s="103">
        <f t="shared" ref="C22" si="0">D22*1000/41868</f>
        <v>1.0226</v>
      </c>
      <c r="D22" s="104">
        <f>INDEX('Energy content timeseries'!$13:$61,MATCH('Conversion and emission factors'!$B22,'Energy content timeseries'!$B$13:$B$61,0),MATCH('Conversion and emission factors'!$N22,'Energy content timeseries'!$13:$13,0))</f>
        <v>42.814216799999997</v>
      </c>
      <c r="E22" s="150">
        <f t="shared" ref="E22" si="1">D22*J22/1000</f>
        <v>40.125788940955943</v>
      </c>
      <c r="F22" s="105">
        <f>INDEX('Emission factors timeseries'!$22:$71,MATCH($B22,'Emission factors timeseries'!$B$22:$B$71,0),MATCH($N22,'Emission factors timeseries'!$21:$21,0))</f>
        <v>264</v>
      </c>
      <c r="G22" s="106">
        <f t="shared" ref="G22" si="2">F22/3.6</f>
        <v>73.333333333333329</v>
      </c>
      <c r="H22" s="107">
        <f t="shared" ref="H22" si="3">G22*D22/1000</f>
        <v>3.1397092319999995</v>
      </c>
      <c r="I22" s="108">
        <f t="shared" ref="I22:I23" si="4">H22*J22/1000</f>
        <v>2.9425578556701026</v>
      </c>
      <c r="J22" s="109">
        <f>INDEX('Density timeseries'!$6:$48,MATCH($B22,'Density timeseries'!$B$6:$B$48,0),MATCH($N22,'Density timeseries'!$5:$5,0))</f>
        <v>937.20712277413304</v>
      </c>
      <c r="K22" s="110">
        <f t="shared" ref="K22" si="5">10^6/J22</f>
        <v>1067</v>
      </c>
      <c r="L22" s="111" t="str">
        <f>INDEX('Primary energy timeseries'!$14:$63,MATCH($B22,'Primary energy timeseries'!$B$14:$B$63,0),MATCH("Default value",'Primary energy timeseries'!$13:$13,0))</f>
        <v>-</v>
      </c>
      <c r="M22" s="36"/>
      <c r="N22" s="45">
        <f>$D$2</f>
        <v>2025</v>
      </c>
    </row>
    <row r="23" spans="2:14" x14ac:dyDescent="0.35">
      <c r="B23" s="75" t="s">
        <v>61</v>
      </c>
      <c r="C23" s="103">
        <f t="shared" ref="C23:C28" si="6">D23*1000/41868</f>
        <v>1.0649999999999999</v>
      </c>
      <c r="D23" s="104">
        <f>INDEX('Energy content timeseries'!$13:$61,MATCH('Conversion and emission factors'!$B23,'Energy content timeseries'!$B$13:$B$61,0),MATCH('Conversion and emission factors'!$N23,'Energy content timeseries'!$13:$13,0))</f>
        <v>44.589419999999997</v>
      </c>
      <c r="E23" s="150">
        <f t="shared" ref="E23:E28" si="7">D23*J23/1000</f>
        <v>33.029199999999996</v>
      </c>
      <c r="F23" s="105">
        <f>INDEX('Emission factors timeseries'!$22:$71,MATCH($B23,'Emission factors timeseries'!$B$22:$B$71,0),MATCH($N23,'Emission factors timeseries'!$21:$21,0))</f>
        <v>251.85599999999999</v>
      </c>
      <c r="G23" s="106">
        <f t="shared" ref="G23:G28" si="8">F23/3.6</f>
        <v>69.959999999999994</v>
      </c>
      <c r="H23" s="107">
        <f t="shared" ref="H23:H28" si="9">G23*D23/1000</f>
        <v>3.1194758231999993</v>
      </c>
      <c r="I23" s="108">
        <f t="shared" si="4"/>
        <v>2.3107228319999988</v>
      </c>
      <c r="J23" s="109">
        <f>INDEX('Density timeseries'!$6:$48,MATCH($B23,'Density timeseries'!$B$6:$B$48,0),MATCH($N23,'Density timeseries'!$5:$5,0))</f>
        <v>740.74074074074065</v>
      </c>
      <c r="K23" s="110">
        <f t="shared" ref="K23:K28" si="10">10^6/J23</f>
        <v>1350.0000000000002</v>
      </c>
      <c r="L23" s="111">
        <f>INDEX('Primary energy timeseries'!$14:$63,MATCH($B23,'Primary energy timeseries'!$B$14:$B$63,0),MATCH("Default value",'Primary energy timeseries'!$13:$13,0))</f>
        <v>1.1000000000000001</v>
      </c>
      <c r="M23" s="36"/>
      <c r="N23" s="45">
        <f t="shared" ref="N23:N28" si="11">$D$2</f>
        <v>2025</v>
      </c>
    </row>
    <row r="24" spans="2:14" x14ac:dyDescent="0.35">
      <c r="B24" s="75" t="s">
        <v>62</v>
      </c>
      <c r="C24" s="103">
        <f t="shared" si="6"/>
        <v>1.0556000000000001</v>
      </c>
      <c r="D24" s="104">
        <f>INDEX('Energy content timeseries'!$13:$61,MATCH('Conversion and emission factors'!$B24,'Energy content timeseries'!$B$13:$B$61,0),MATCH('Conversion and emission factors'!$N24,'Energy content timeseries'!$13:$13,0))</f>
        <v>44.195860800000005</v>
      </c>
      <c r="E24" s="150">
        <f t="shared" si="7"/>
        <v>35.356688640000009</v>
      </c>
      <c r="F24" s="105">
        <f>INDEX('Emission factors timeseries'!$22:$71,MATCH($B24,'Emission factors timeseries'!$B$22:$B$71,0),MATCH($N24,'Emission factors timeseries'!$21:$21,0))</f>
        <v>257.00399999999996</v>
      </c>
      <c r="G24" s="106">
        <f t="shared" si="8"/>
        <v>71.389999999999986</v>
      </c>
      <c r="H24" s="107">
        <f t="shared" si="9"/>
        <v>3.1551425025119997</v>
      </c>
      <c r="I24" s="108">
        <f t="shared" ref="I24:I28" si="12">H24*J24/1000</f>
        <v>2.5241140020096</v>
      </c>
      <c r="J24" s="109">
        <f>INDEX('Density timeseries'!$6:$48,MATCH($B24,'Density timeseries'!$B$6:$B$48,0),MATCH($N24,'Density timeseries'!$5:$5,0))</f>
        <v>800</v>
      </c>
      <c r="K24" s="110">
        <f t="shared" si="10"/>
        <v>1250</v>
      </c>
      <c r="L24" s="111">
        <f>INDEX('Primary energy timeseries'!$14:$63,MATCH($B24,'Primary energy timeseries'!$B$14:$B$63,0),MATCH("Default value",'Primary energy timeseries'!$13:$13,0))</f>
        <v>1.1000000000000001</v>
      </c>
      <c r="M24" s="36"/>
      <c r="N24" s="45">
        <f t="shared" si="11"/>
        <v>2025</v>
      </c>
    </row>
    <row r="25" spans="2:14" x14ac:dyDescent="0.35">
      <c r="B25" s="35" t="s">
        <v>63</v>
      </c>
      <c r="C25" s="103">
        <f t="shared" si="6"/>
        <v>1.0532999999999999</v>
      </c>
      <c r="D25" s="104">
        <f>INDEX('Energy content timeseries'!$13:$61,MATCH('Conversion and emission factors'!$B25,'Energy content timeseries'!$B$13:$B$61,0),MATCH('Conversion and emission factors'!$N25,'Energy content timeseries'!$13:$13,0))</f>
        <v>44.099564399999998</v>
      </c>
      <c r="E25" s="150">
        <f t="shared" si="7"/>
        <v>35.279651520000002</v>
      </c>
      <c r="F25" s="105">
        <f>INDEX('Emission factors timeseries'!$22:$71,MATCH($B25,'Emission factors timeseries'!$B$22:$B$71,0),MATCH($N25,'Emission factors timeseries'!$21:$21,0))</f>
        <v>257.00399999999996</v>
      </c>
      <c r="G25" s="106">
        <f t="shared" si="8"/>
        <v>71.389999999999986</v>
      </c>
      <c r="H25" s="107">
        <f t="shared" si="9"/>
        <v>3.148267902515999</v>
      </c>
      <c r="I25" s="108">
        <f t="shared" si="12"/>
        <v>2.518614322012799</v>
      </c>
      <c r="J25" s="109">
        <f>INDEX('Density timeseries'!$6:$48,MATCH($B25,'Density timeseries'!$B$6:$B$48,0),MATCH($N25,'Density timeseries'!$5:$5,0))</f>
        <v>800</v>
      </c>
      <c r="K25" s="110">
        <f t="shared" si="10"/>
        <v>1250</v>
      </c>
      <c r="L25" s="111">
        <f>INDEX('Primary energy timeseries'!$14:$63,MATCH($B25,'Primary energy timeseries'!$B$14:$B$63,0),MATCH("Default value",'Primary energy timeseries'!$13:$13,0))</f>
        <v>1.1000000000000001</v>
      </c>
      <c r="M25" s="36"/>
      <c r="N25" s="45">
        <f t="shared" si="11"/>
        <v>2025</v>
      </c>
    </row>
    <row r="26" spans="2:14" x14ac:dyDescent="0.35">
      <c r="B26" s="75" t="s">
        <v>64</v>
      </c>
      <c r="C26" s="103">
        <f t="shared" si="6"/>
        <v>1.0344</v>
      </c>
      <c r="D26" s="104">
        <f>INDEX('Energy content timeseries'!$13:$61,MATCH('Conversion and emission factors'!$B26,'Energy content timeseries'!$B$13:$B$61,0),MATCH('Conversion and emission factors'!$N26,'Energy content timeseries'!$13:$13,0))</f>
        <v>43.308259200000002</v>
      </c>
      <c r="E26" s="150">
        <f t="shared" si="7"/>
        <v>36.595479023999999</v>
      </c>
      <c r="F26" s="105">
        <f>INDEX('Emission factors timeseries'!$22:$71,MATCH($B26,'Emission factors timeseries'!$B$22:$B$71,0),MATCH($N26,'Emission factors timeseries'!$21:$21,0))</f>
        <v>263.86799999999999</v>
      </c>
      <c r="G26" s="106">
        <f t="shared" si="8"/>
        <v>73.296666666666667</v>
      </c>
      <c r="H26" s="107">
        <f t="shared" si="9"/>
        <v>3.1743510384959999</v>
      </c>
      <c r="I26" s="108">
        <f t="shared" si="12"/>
        <v>2.68232662752912</v>
      </c>
      <c r="J26" s="109">
        <f>INDEX('Density timeseries'!$6:$48,MATCH($B26,'Density timeseries'!$B$6:$B$48,0),MATCH($N26,'Density timeseries'!$5:$5,0))</f>
        <v>845</v>
      </c>
      <c r="K26" s="110">
        <f t="shared" si="10"/>
        <v>1183.4319526627219</v>
      </c>
      <c r="L26" s="111">
        <f>INDEX('Primary energy timeseries'!$14:$63,MATCH($B26,'Primary energy timeseries'!$B$14:$B$63,0),MATCH("Default value",'Primary energy timeseries'!$13:$13,0))</f>
        <v>1.1000000000000001</v>
      </c>
      <c r="M26" s="36"/>
      <c r="N26" s="45">
        <f t="shared" si="11"/>
        <v>2025</v>
      </c>
    </row>
    <row r="27" spans="2:14" x14ac:dyDescent="0.35">
      <c r="B27" s="35" t="s">
        <v>65</v>
      </c>
      <c r="C27" s="103">
        <f t="shared" si="6"/>
        <v>0.9849</v>
      </c>
      <c r="D27" s="104">
        <f>INDEX('Energy content timeseries'!$13:$61,MATCH('Conversion and emission factors'!$B27,'Energy content timeseries'!$B$13:$B$61,0),MATCH('Conversion and emission factors'!$N27,'Energy content timeseries'!$13:$13,0))</f>
        <v>41.235793200000003</v>
      </c>
      <c r="E27" s="150">
        <f t="shared" si="7"/>
        <v>38.828430508474582</v>
      </c>
      <c r="F27" s="105">
        <f>INDEX('Emission factors timeseries'!$22:$71,MATCH($B27,'Emission factors timeseries'!$B$22:$B$71,0),MATCH($N27,'Emission factors timeseries'!$21:$21,0))</f>
        <v>273.63600000000002</v>
      </c>
      <c r="G27" s="106">
        <f t="shared" si="8"/>
        <v>76.010000000000005</v>
      </c>
      <c r="H27" s="107">
        <f t="shared" si="9"/>
        <v>3.1343326411320005</v>
      </c>
      <c r="I27" s="108">
        <f t="shared" si="12"/>
        <v>2.9513490029491525</v>
      </c>
      <c r="J27" s="109">
        <f>INDEX('Density timeseries'!$6:$48,MATCH($B27,'Density timeseries'!$B$6:$B$48,0),MATCH($N27,'Density timeseries'!$5:$5,0))</f>
        <v>941.61958568738225</v>
      </c>
      <c r="K27" s="110">
        <f t="shared" si="10"/>
        <v>1062</v>
      </c>
      <c r="L27" s="111">
        <f>INDEX('Primary energy timeseries'!$14:$63,MATCH($B27,'Primary energy timeseries'!$B$14:$B$63,0),MATCH("Default value",'Primary energy timeseries'!$13:$13,0))</f>
        <v>1.1000000000000001</v>
      </c>
      <c r="M27" s="36"/>
      <c r="N27" s="45">
        <f t="shared" si="11"/>
        <v>2025</v>
      </c>
    </row>
    <row r="28" spans="2:14" x14ac:dyDescent="0.35">
      <c r="B28" s="35" t="s">
        <v>66</v>
      </c>
      <c r="C28" s="103">
        <f t="shared" si="6"/>
        <v>1.1263000000000001</v>
      </c>
      <c r="D28" s="104">
        <f>INDEX('Energy content timeseries'!$13:$61,MATCH('Conversion and emission factors'!$B28,'Energy content timeseries'!$B$13:$B$61,0),MATCH('Conversion and emission factors'!$N28,'Energy content timeseries'!$13:$13,0))</f>
        <v>47.155928400000008</v>
      </c>
      <c r="E28" s="150">
        <f t="shared" si="7"/>
        <v>24.624505691906009</v>
      </c>
      <c r="F28" s="105">
        <f>INDEX('Emission factors timeseries'!$22:$71,MATCH($B28,'Emission factors timeseries'!$B$22:$B$71,0),MATCH($N28,'Emission factors timeseries'!$21:$21,0))</f>
        <v>229.28400000000002</v>
      </c>
      <c r="G28" s="106">
        <f t="shared" si="8"/>
        <v>63.690000000000005</v>
      </c>
      <c r="H28" s="107">
        <f t="shared" si="9"/>
        <v>3.0033610797960009</v>
      </c>
      <c r="I28" s="108">
        <f t="shared" si="12"/>
        <v>1.5683347675174939</v>
      </c>
      <c r="J28" s="109">
        <f>INDEX('Density timeseries'!$6:$48,MATCH($B28,'Density timeseries'!$B$6:$B$48,0),MATCH($N28,'Density timeseries'!$5:$5,0))</f>
        <v>522.19321148825065</v>
      </c>
      <c r="K28" s="110">
        <f t="shared" si="10"/>
        <v>1915</v>
      </c>
      <c r="L28" s="111">
        <f>INDEX('Primary energy timeseries'!$14:$63,MATCH($B28,'Primary energy timeseries'!$B$14:$B$63,0),MATCH("Default value",'Primary energy timeseries'!$13:$13,0))</f>
        <v>1.1000000000000001</v>
      </c>
      <c r="M28" s="36" t="s">
        <v>67</v>
      </c>
      <c r="N28" s="45">
        <f t="shared" si="11"/>
        <v>2025</v>
      </c>
    </row>
    <row r="29" spans="2:14" x14ac:dyDescent="0.35">
      <c r="B29" s="35"/>
      <c r="C29" s="46"/>
      <c r="D29" s="47"/>
      <c r="E29" s="48"/>
      <c r="F29" s="49"/>
      <c r="G29" s="47"/>
      <c r="H29" s="47"/>
      <c r="I29" s="48"/>
      <c r="J29" s="97"/>
      <c r="K29" s="50"/>
      <c r="L29" s="50"/>
      <c r="M29" s="36"/>
      <c r="N29" s="45"/>
    </row>
    <row r="30" spans="2:14" x14ac:dyDescent="0.35">
      <c r="B30" s="74" t="s">
        <v>68</v>
      </c>
      <c r="C30" s="46"/>
      <c r="D30" s="51"/>
      <c r="E30" s="48"/>
      <c r="F30" s="46"/>
      <c r="G30" s="51"/>
      <c r="H30" s="51"/>
      <c r="I30" s="52"/>
      <c r="J30" s="97"/>
      <c r="K30" s="53"/>
      <c r="L30" s="53"/>
      <c r="M30" s="36"/>
      <c r="N30" s="45"/>
    </row>
    <row r="31" spans="2:14" x14ac:dyDescent="0.35">
      <c r="B31" s="35" t="s">
        <v>69</v>
      </c>
      <c r="C31" s="146">
        <f t="shared" ref="C31:C36" si="13">D31*1000/41868</f>
        <v>0.63294162606286419</v>
      </c>
      <c r="D31" s="154">
        <f>INDEX('Energy content timeseries'!$13:$61,MATCH('Conversion and emission factors'!$B31,'Energy content timeseries'!$B$13:$B$61,0),MATCH('Conversion and emission factors'!$N31,'Energy content timeseries'!$13:$13,0))</f>
        <v>26.499999999999996</v>
      </c>
      <c r="E31" s="151">
        <f>D31*J31/1000</f>
        <v>21.199999999999996</v>
      </c>
      <c r="F31" s="112" t="str">
        <f>INDEX('Emission factors timeseries'!$22:$71,MATCH($B31,'Emission factors timeseries'!$B$22:$B$71,0),MATCH($N31,'Emission factors timeseries'!$21:$21,0))</f>
        <v>-</v>
      </c>
      <c r="G31" s="154" t="s">
        <v>58</v>
      </c>
      <c r="H31" s="154" t="s">
        <v>58</v>
      </c>
      <c r="I31" s="154" t="s">
        <v>58</v>
      </c>
      <c r="J31" s="137">
        <f>INDEX('Density timeseries'!$6:$48,MATCH($B31,'Density timeseries'!$B$6:$B$48,0),MATCH($N31,'Density timeseries'!$5:$5,0))</f>
        <v>800</v>
      </c>
      <c r="K31" s="156">
        <f t="shared" ref="K31:K36" si="14">10^6/J31</f>
        <v>1250</v>
      </c>
      <c r="L31" s="113">
        <f>INDEX('Primary energy timeseries'!$14:$63,MATCH($B31,'Primary energy timeseries'!$B$14:$B$63,0),MATCH("Default value",'Primary energy timeseries'!$13:$13,0))</f>
        <v>1.1000000000000001</v>
      </c>
      <c r="M31" s="36"/>
      <c r="N31" s="45">
        <f t="shared" ref="N31:N36" si="15">$D$2</f>
        <v>2025</v>
      </c>
    </row>
    <row r="32" spans="2:14" x14ac:dyDescent="0.35">
      <c r="B32" s="35" t="s">
        <v>70</v>
      </c>
      <c r="C32" s="146">
        <f t="shared" si="13"/>
        <v>0.89024379652066654</v>
      </c>
      <c r="D32" s="154">
        <f>INDEX('Energy content timeseries'!$13:$61,MATCH('Conversion and emission factors'!$B32,'Energy content timeseries'!$B$13:$B$61,0),MATCH('Conversion and emission factors'!$N32,'Energy content timeseries'!$13:$13,0))</f>
        <v>37.272727272727266</v>
      </c>
      <c r="E32" s="151">
        <f t="shared" ref="E32:E36" si="16">D32*J32/1000</f>
        <v>32.79999999999999</v>
      </c>
      <c r="F32" s="112">
        <f>INDEX('Emission factors timeseries'!$22:$71,MATCH($B32,'Emission factors timeseries'!$B$22:$B$71,0),MATCH($N32,'Emission factors timeseries'!$21:$21,0))</f>
        <v>14.62978536585366</v>
      </c>
      <c r="G32" s="106">
        <f t="shared" ref="G32" si="17">F32/3.6</f>
        <v>4.0638292682926833</v>
      </c>
      <c r="H32" s="107">
        <f t="shared" ref="H32" si="18">G32*D32/1000</f>
        <v>0.15146999999999999</v>
      </c>
      <c r="I32" s="108">
        <f t="shared" ref="I32" si="19">H32*J32/1000</f>
        <v>0.13329359999999998</v>
      </c>
      <c r="J32" s="137">
        <f>INDEX('Density timeseries'!$6:$48,MATCH($B32,'Density timeseries'!$B$6:$B$48,0),MATCH($N32,'Density timeseries'!$5:$5,0))</f>
        <v>880</v>
      </c>
      <c r="K32" s="156">
        <f t="shared" si="14"/>
        <v>1136.3636363636363</v>
      </c>
      <c r="L32" s="113">
        <f>INDEX('Primary energy timeseries'!$14:$63,MATCH($B32,'Primary energy timeseries'!$B$14:$B$63,0),MATCH("Default value",'Primary energy timeseries'!$13:$13,0))</f>
        <v>1.1000000000000001</v>
      </c>
      <c r="M32" s="36" t="s">
        <v>71</v>
      </c>
      <c r="N32" s="45">
        <f t="shared" si="15"/>
        <v>2025</v>
      </c>
    </row>
    <row r="33" spans="2:14" x14ac:dyDescent="0.35">
      <c r="B33" s="35" t="s">
        <v>72</v>
      </c>
      <c r="C33" s="146">
        <f t="shared" si="13"/>
        <v>1.0509219451609821</v>
      </c>
      <c r="D33" s="154">
        <f>INDEX('Energy content timeseries'!$13:$61,MATCH('Conversion and emission factors'!$B33,'Energy content timeseries'!$B$13:$B$61,0),MATCH('Conversion and emission factors'!$N33,'Energy content timeseries'!$13:$13,0))</f>
        <v>44</v>
      </c>
      <c r="E33" s="151">
        <f t="shared" si="16"/>
        <v>34</v>
      </c>
      <c r="F33" s="112" t="str">
        <f>INDEX('Emission factors timeseries'!$22:$71,MATCH($B33,'Emission factors timeseries'!$B$22:$B$71,0),MATCH($N33,'Emission factors timeseries'!$21:$21,0))</f>
        <v>-</v>
      </c>
      <c r="G33" s="154" t="s">
        <v>58</v>
      </c>
      <c r="H33" s="154" t="s">
        <v>58</v>
      </c>
      <c r="I33" s="154" t="s">
        <v>58</v>
      </c>
      <c r="J33" s="137">
        <f>INDEX('Density timeseries'!$6:$48,MATCH($B33,'Density timeseries'!$B$6:$B$48,0),MATCH($N33,'Density timeseries'!$5:$5,0))</f>
        <v>772.72727272727275</v>
      </c>
      <c r="K33" s="156">
        <f t="shared" si="14"/>
        <v>1294.1176470588234</v>
      </c>
      <c r="L33" s="113">
        <f>INDEX('Primary energy timeseries'!$14:$63,MATCH($B33,'Primary energy timeseries'!$B$14:$B$63,0),MATCH("Default value",'Primary energy timeseries'!$13:$13,0))</f>
        <v>1.1000000000000001</v>
      </c>
      <c r="M33" s="36" t="s">
        <v>73</v>
      </c>
      <c r="N33" s="45">
        <f t="shared" si="15"/>
        <v>2025</v>
      </c>
    </row>
    <row r="34" spans="2:14" x14ac:dyDescent="0.35">
      <c r="B34" s="35" t="s">
        <v>74</v>
      </c>
      <c r="C34" s="146">
        <f t="shared" si="13"/>
        <v>1.0270373554982326</v>
      </c>
      <c r="D34" s="154">
        <f>INDEX('Energy content timeseries'!$13:$61,MATCH('Conversion and emission factors'!$B34,'Energy content timeseries'!$B$13:$B$61,0),MATCH('Conversion and emission factors'!$N34,'Energy content timeseries'!$13:$13,0))</f>
        <v>43</v>
      </c>
      <c r="E34" s="151">
        <f t="shared" si="16"/>
        <v>36</v>
      </c>
      <c r="F34" s="112" t="str">
        <f>INDEX('Emission factors timeseries'!$22:$71,MATCH($B34,'Emission factors timeseries'!$B$22:$B$71,0),MATCH($N34,'Emission factors timeseries'!$21:$21,0))</f>
        <v>-</v>
      </c>
      <c r="G34" s="154" t="s">
        <v>58</v>
      </c>
      <c r="H34" s="154" t="s">
        <v>58</v>
      </c>
      <c r="I34" s="154" t="s">
        <v>58</v>
      </c>
      <c r="J34" s="137">
        <f>INDEX('Density timeseries'!$6:$48,MATCH($B34,'Density timeseries'!$B$6:$B$48,0),MATCH($N34,'Density timeseries'!$5:$5,0))</f>
        <v>837.20930232558146</v>
      </c>
      <c r="K34" s="156">
        <f t="shared" si="14"/>
        <v>1194.4444444444443</v>
      </c>
      <c r="L34" s="113">
        <f>INDEX('Primary energy timeseries'!$14:$63,MATCH($B34,'Primary energy timeseries'!$B$14:$B$63,0),MATCH("Default value",'Primary energy timeseries'!$13:$13,0))</f>
        <v>1.1000000000000001</v>
      </c>
      <c r="M34" s="36" t="s">
        <v>75</v>
      </c>
      <c r="N34" s="45">
        <f t="shared" si="15"/>
        <v>2025</v>
      </c>
    </row>
    <row r="35" spans="2:14" x14ac:dyDescent="0.35">
      <c r="B35" s="35" t="s">
        <v>76</v>
      </c>
      <c r="C35" s="146">
        <f t="shared" si="13"/>
        <v>1.0986911244864814</v>
      </c>
      <c r="D35" s="154">
        <f>INDEX('Energy content timeseries'!$13:$61,MATCH('Conversion and emission factors'!$B35,'Energy content timeseries'!$B$13:$B$61,0),MATCH('Conversion and emission factors'!$N35,'Energy content timeseries'!$13:$13,0))</f>
        <v>46</v>
      </c>
      <c r="E35" s="151">
        <f t="shared" si="16"/>
        <v>24</v>
      </c>
      <c r="F35" s="112" t="str">
        <f>INDEX('Emission factors timeseries'!$22:$71,MATCH($B35,'Emission factors timeseries'!$B$22:$B$71,0),MATCH($N35,'Emission factors timeseries'!$21:$21,0))</f>
        <v>-</v>
      </c>
      <c r="G35" s="154" t="s">
        <v>58</v>
      </c>
      <c r="H35" s="154" t="s">
        <v>58</v>
      </c>
      <c r="I35" s="154" t="s">
        <v>58</v>
      </c>
      <c r="J35" s="137">
        <f>INDEX('Density timeseries'!$6:$48,MATCH($B35,'Density timeseries'!$B$6:$B$48,0),MATCH($N35,'Density timeseries'!$5:$5,0))</f>
        <v>521.73913043478262</v>
      </c>
      <c r="K35" s="156">
        <f t="shared" si="14"/>
        <v>1916.6666666666665</v>
      </c>
      <c r="L35" s="113">
        <f>INDEX('Primary energy timeseries'!$14:$63,MATCH($B35,'Primary energy timeseries'!$B$14:$B$63,0),MATCH("Default value",'Primary energy timeseries'!$13:$13,0))</f>
        <v>1.1000000000000001</v>
      </c>
      <c r="M35" s="36"/>
      <c r="N35" s="45">
        <f t="shared" si="15"/>
        <v>2025</v>
      </c>
    </row>
    <row r="36" spans="2:14" x14ac:dyDescent="0.35">
      <c r="B36" s="35" t="s">
        <v>77</v>
      </c>
      <c r="C36" s="146">
        <f t="shared" si="13"/>
        <v>1.0509219451609821</v>
      </c>
      <c r="D36" s="154">
        <f>INDEX('Energy content timeseries'!$13:$61,MATCH('Conversion and emission factors'!$B36,'Energy content timeseries'!$B$13:$B$61,0),MATCH('Conversion and emission factors'!$N36,'Energy content timeseries'!$13:$13,0))</f>
        <v>44</v>
      </c>
      <c r="E36" s="151">
        <f t="shared" si="16"/>
        <v>34</v>
      </c>
      <c r="F36" s="112" t="str">
        <f>INDEX('Emission factors timeseries'!$22:$71,MATCH($B36,'Emission factors timeseries'!$B$22:$B$71,0),MATCH($N36,'Emission factors timeseries'!$21:$21,0))</f>
        <v>-</v>
      </c>
      <c r="G36" s="154" t="s">
        <v>58</v>
      </c>
      <c r="H36" s="154" t="s">
        <v>58</v>
      </c>
      <c r="I36" s="154" t="s">
        <v>58</v>
      </c>
      <c r="J36" s="137">
        <f>INDEX('Density timeseries'!$6:$48,MATCH($B36,'Density timeseries'!$B$6:$B$48,0),MATCH($N36,'Density timeseries'!$5:$5,0))</f>
        <v>772.72727272727275</v>
      </c>
      <c r="K36" s="156">
        <f t="shared" si="14"/>
        <v>1294.1176470588234</v>
      </c>
      <c r="L36" s="113">
        <f>INDEX('Primary energy timeseries'!$14:$63,MATCH($B36,'Primary energy timeseries'!$B$14:$B$63,0),MATCH("Default value",'Primary energy timeseries'!$13:$13,0))</f>
        <v>1.1000000000000001</v>
      </c>
      <c r="M36" s="36"/>
      <c r="N36" s="45">
        <f t="shared" si="15"/>
        <v>2025</v>
      </c>
    </row>
    <row r="37" spans="2:14" x14ac:dyDescent="0.35">
      <c r="B37" s="35"/>
      <c r="C37" s="46"/>
      <c r="D37" s="47"/>
      <c r="E37" s="48"/>
      <c r="F37" s="56"/>
      <c r="G37" s="54"/>
      <c r="H37" s="54"/>
      <c r="I37" s="55"/>
      <c r="J37" s="97"/>
      <c r="K37" s="57"/>
      <c r="L37" s="57"/>
      <c r="M37" s="36"/>
      <c r="N37" s="45"/>
    </row>
    <row r="38" spans="2:14" x14ac:dyDescent="0.35">
      <c r="B38" s="74" t="s">
        <v>78</v>
      </c>
      <c r="C38" s="46"/>
      <c r="D38" s="47"/>
      <c r="E38" s="48"/>
      <c r="F38" s="46"/>
      <c r="G38" s="51"/>
      <c r="H38" s="51"/>
      <c r="I38" s="52"/>
      <c r="J38" s="97"/>
      <c r="K38" s="53"/>
      <c r="L38" s="53"/>
      <c r="M38" s="36"/>
      <c r="N38" s="45"/>
    </row>
    <row r="39" spans="2:14" x14ac:dyDescent="0.35">
      <c r="B39" s="35" t="s">
        <v>79</v>
      </c>
      <c r="C39" s="114">
        <f t="shared" ref="C39:C40" si="20">D39*1000/41868</f>
        <v>1.0258885194535663</v>
      </c>
      <c r="D39" s="128">
        <f>INDEX('Energy content timeseries'!$13:$61,MATCH('Conversion and emission factors'!$B39,'Energy content timeseries'!$B$13:$B$61,0),MATCH('Conversion and emission factors'!$N39,'Energy content timeseries'!$13:$13,0))</f>
        <v>42.951900532481915</v>
      </c>
      <c r="E39" s="152">
        <f t="shared" ref="E39:E40" si="21">D39*J39/1000</f>
        <v>36.30115899963215</v>
      </c>
      <c r="F39" s="115">
        <f>INDEX('Emission factors timeseries'!$22:$71,MATCH($B39,'Emission factors timeseries'!$B$22:$B$71,0),MATCH($N39,'Emission factors timeseries'!$21:$21,0))</f>
        <v>239.04139311113681</v>
      </c>
      <c r="G39" s="116">
        <f t="shared" ref="G39:G40" si="22">F39/3.6</f>
        <v>66.400386975315783</v>
      </c>
      <c r="H39" s="117">
        <f t="shared" ref="H39:H40" si="23">G39*D39/1000</f>
        <v>2.8520228166820711</v>
      </c>
      <c r="I39" s="118">
        <f t="shared" ref="I39:I40" si="24">H39*J39/1000</f>
        <v>2.4104110052280414</v>
      </c>
      <c r="J39" s="119">
        <f>INDEX('Density timeseries'!$6:$48,MATCH($B39,'Density timeseries'!$B$6:$B$48,0),MATCH($N39,'Density timeseries'!$5:$5,0))</f>
        <v>845.15838762896612</v>
      </c>
      <c r="K39" s="120">
        <f t="shared" ref="K39:K40" si="25">10^6/J39</f>
        <v>1183.2101705875882</v>
      </c>
      <c r="L39" s="111">
        <f>INDEX('Primary energy timeseries'!$14:$63,MATCH($B39,'Primary energy timeseries'!$B$14:$B$63,0),MATCH("Default value",'Primary energy timeseries'!$13:$13,0))</f>
        <v>1.1000000000000001</v>
      </c>
      <c r="M39" s="36" t="s">
        <v>139</v>
      </c>
      <c r="N39" s="45">
        <f t="shared" ref="N39:N40" si="26">$D$2</f>
        <v>2025</v>
      </c>
    </row>
    <row r="40" spans="2:14" ht="15" thickBot="1" x14ac:dyDescent="0.4">
      <c r="B40" s="76" t="s">
        <v>80</v>
      </c>
      <c r="C40" s="121">
        <f t="shared" si="20"/>
        <v>1.0199418035676224</v>
      </c>
      <c r="D40" s="130">
        <f>INDEX('Energy content timeseries'!$13:$61,MATCH('Conversion and emission factors'!$B40,'Energy content timeseries'!$B$13:$B$61,0),MATCH('Conversion and emission factors'!$N40,'Energy content timeseries'!$13:$13,0))</f>
        <v>42.702923431769214</v>
      </c>
      <c r="E40" s="153">
        <f t="shared" si="21"/>
        <v>31.878052592265558</v>
      </c>
      <c r="F40" s="122">
        <f>INDEX('Emission factors timeseries'!$22:$71,MATCH($B40,'Emission factors timeseries'!$B$22:$B$71,0),MATCH($N40,'Emission factors timeseries'!$21:$21,0))</f>
        <v>235.55658772213803</v>
      </c>
      <c r="G40" s="123">
        <f t="shared" si="22"/>
        <v>65.432385478371671</v>
      </c>
      <c r="H40" s="124">
        <f t="shared" si="23"/>
        <v>2.7941541470409135</v>
      </c>
      <c r="I40" s="125">
        <f t="shared" si="24"/>
        <v>2.0858570255169253</v>
      </c>
      <c r="J40" s="126">
        <f>INDEX('Density timeseries'!$6:$48,MATCH($B40,'Density timeseries'!$B$6:$B$48,0),MATCH($N40,'Density timeseries'!$5:$5,0))</f>
        <v>746.50749949708597</v>
      </c>
      <c r="K40" s="127">
        <f t="shared" si="25"/>
        <v>1339.5712711174224</v>
      </c>
      <c r="L40" s="138">
        <f>INDEX('Primary energy timeseries'!$14:$63,MATCH($B40,'Primary energy timeseries'!$B$14:$B$63,0),MATCH("Default value",'Primary energy timeseries'!$13:$13,0))</f>
        <v>1.1000000000000001</v>
      </c>
      <c r="M40" s="79" t="s">
        <v>140</v>
      </c>
      <c r="N40" s="79">
        <f t="shared" si="26"/>
        <v>2025</v>
      </c>
    </row>
    <row r="41" spans="2:14" ht="15" thickBot="1" x14ac:dyDescent="0.4">
      <c r="B41" s="7"/>
      <c r="C41" s="51"/>
      <c r="D41" s="51"/>
      <c r="E41" s="51"/>
      <c r="F41" s="51"/>
      <c r="G41" s="51"/>
      <c r="H41" s="51"/>
      <c r="I41" s="51"/>
      <c r="J41" s="51"/>
      <c r="K41" s="51"/>
      <c r="L41" s="51"/>
    </row>
    <row r="42" spans="2:14" ht="15" thickBot="1" x14ac:dyDescent="0.4">
      <c r="B42" s="200" t="s">
        <v>81</v>
      </c>
      <c r="C42" s="208" t="s">
        <v>42</v>
      </c>
      <c r="D42" s="209"/>
      <c r="E42" s="210"/>
      <c r="F42" s="209" t="s">
        <v>43</v>
      </c>
      <c r="G42" s="209"/>
      <c r="H42" s="209"/>
      <c r="I42" s="209"/>
      <c r="J42" s="165"/>
      <c r="K42" s="78"/>
      <c r="L42" s="58" t="s">
        <v>46</v>
      </c>
      <c r="M42" s="198" t="s">
        <v>47</v>
      </c>
      <c r="N42" s="202" t="s">
        <v>48</v>
      </c>
    </row>
    <row r="43" spans="2:14" ht="15" thickBot="1" x14ac:dyDescent="0.4">
      <c r="B43" s="201"/>
      <c r="C43" s="59" t="s">
        <v>49</v>
      </c>
      <c r="D43" s="60" t="s">
        <v>50</v>
      </c>
      <c r="E43" s="62"/>
      <c r="F43" s="61" t="s">
        <v>52</v>
      </c>
      <c r="G43" s="61" t="s">
        <v>53</v>
      </c>
      <c r="H43" s="61" t="s">
        <v>54</v>
      </c>
      <c r="I43" s="61"/>
      <c r="J43" s="72"/>
      <c r="K43" s="73"/>
      <c r="L43" s="63" t="s">
        <v>58</v>
      </c>
      <c r="M43" s="199"/>
      <c r="N43" s="203"/>
    </row>
    <row r="44" spans="2:14" x14ac:dyDescent="0.35">
      <c r="B44" s="163" t="s">
        <v>82</v>
      </c>
      <c r="C44" s="157"/>
      <c r="D44" s="158"/>
      <c r="E44" s="70"/>
      <c r="F44" s="69"/>
      <c r="G44" s="69"/>
      <c r="H44" s="69"/>
      <c r="I44" s="69"/>
      <c r="J44" s="166"/>
      <c r="K44" s="167"/>
      <c r="L44" s="159"/>
      <c r="M44" s="164"/>
      <c r="N44" s="160"/>
    </row>
    <row r="45" spans="2:14" x14ac:dyDescent="0.35">
      <c r="B45" s="35" t="s">
        <v>83</v>
      </c>
      <c r="C45" s="114">
        <f t="shared" ref="C45:C51" si="27">D45*1000/41868</f>
        <v>0.76448518485921679</v>
      </c>
      <c r="D45" s="128">
        <f>INDEX('Energy content timeseries'!$13:$61,MATCH('Conversion and emission factors'!$B45,'Energy content timeseries'!$B$13:$B$61,0),MATCH('Conversion and emission factors'!$N45,'Energy content timeseries'!$13:$13,0))</f>
        <v>32.00746571968569</v>
      </c>
      <c r="E45" s="81"/>
      <c r="F45" s="129">
        <f>INDEX('Emission factors timeseries'!$22:$71,MATCH($B45,'Emission factors timeseries'!$B$22:$B$71,0),MATCH($N45,'Emission factors timeseries'!$21:$21,0))</f>
        <v>336.11679727030236</v>
      </c>
      <c r="G45" s="116">
        <f t="shared" ref="G45:G51" si="28">F45/3.6</f>
        <v>93.365777019528437</v>
      </c>
      <c r="H45" s="117">
        <f t="shared" ref="H45:H51" si="29">G45*D45/1000</f>
        <v>2.9884019073443748</v>
      </c>
      <c r="I45" s="161"/>
      <c r="J45" s="168"/>
      <c r="K45" s="88"/>
      <c r="L45" s="111">
        <f>INDEX('Primary energy timeseries'!$14:$63,MATCH($B45,'Primary energy timeseries'!$B$14:$B$63,0),MATCH("Default value",'Primary energy timeseries'!$13:$13,0))</f>
        <v>1.1000000000000001</v>
      </c>
      <c r="M45" s="45" t="s">
        <v>145</v>
      </c>
      <c r="N45" s="45">
        <f t="shared" ref="N45:N51" si="30">$D$2</f>
        <v>2025</v>
      </c>
    </row>
    <row r="46" spans="2:14" x14ac:dyDescent="0.35">
      <c r="B46" s="35" t="s">
        <v>84</v>
      </c>
      <c r="C46" s="103">
        <f t="shared" si="27"/>
        <v>0.66500000000000015</v>
      </c>
      <c r="D46" s="104">
        <f>INDEX('Energy content timeseries'!$13:$61,MATCH('Conversion and emission factors'!$B46,'Energy content timeseries'!$B$13:$B$61,0),MATCH('Conversion and emission factors'!$N46,'Energy content timeseries'!$13:$13,0))</f>
        <v>27.842220000000005</v>
      </c>
      <c r="E46" s="81"/>
      <c r="F46" s="141">
        <f>INDEX('Emission factors timeseries'!$22:$71,MATCH($B46,'Emission factors timeseries'!$B$22:$B$71,0),MATCH($N46,'Emission factors timeseries'!$21:$21,0))</f>
        <v>340.56</v>
      </c>
      <c r="G46" s="106">
        <f t="shared" si="28"/>
        <v>94.6</v>
      </c>
      <c r="H46" s="107">
        <f t="shared" si="29"/>
        <v>2.6338740120000002</v>
      </c>
      <c r="I46" s="161"/>
      <c r="J46" s="168"/>
      <c r="K46" s="88"/>
      <c r="L46" s="111">
        <f>INDEX('Primary energy timeseries'!$14:$63,MATCH($B46,'Primary energy timeseries'!$B$14:$B$63,0),MATCH("Default value",'Primary energy timeseries'!$13:$13,0))</f>
        <v>1.1000000000000001</v>
      </c>
      <c r="M46" s="45"/>
      <c r="N46" s="45">
        <f t="shared" si="30"/>
        <v>2025</v>
      </c>
    </row>
    <row r="47" spans="2:14" x14ac:dyDescent="0.35">
      <c r="B47" s="35" t="s">
        <v>85</v>
      </c>
      <c r="C47" s="103">
        <f t="shared" ref="C47:C48" si="31">D47*1000/41868</f>
        <v>0.66500000000000015</v>
      </c>
      <c r="D47" s="104">
        <f>INDEX('Energy content timeseries'!$13:$61,MATCH('Conversion and emission factors'!$B47,'Energy content timeseries'!$B$13:$B$61,0),MATCH('Conversion and emission factors'!$N47,'Energy content timeseries'!$13:$13,0))</f>
        <v>27.842220000000005</v>
      </c>
      <c r="E47" s="81"/>
      <c r="F47" s="141">
        <f>INDEX('Emission factors timeseries'!$22:$71,MATCH($B47,'Emission factors timeseries'!$B$22:$B$71,0),MATCH($N47,'Emission factors timeseries'!$21:$21,0))</f>
        <v>353.87880000000001</v>
      </c>
      <c r="G47" s="106">
        <f t="shared" si="28"/>
        <v>98.299666666666667</v>
      </c>
      <c r="H47" s="107">
        <f t="shared" ref="H47:H48" si="32">G47*D47/1000</f>
        <v>2.7368809452600003</v>
      </c>
      <c r="I47" s="161"/>
      <c r="J47" s="168"/>
      <c r="K47" s="88"/>
      <c r="L47" s="111">
        <f>INDEX('Primary energy timeseries'!$14:$63,MATCH($B47,'Primary energy timeseries'!$B$14:$B$63,0),MATCH("Default value",'Primary energy timeseries'!$13:$13,0))</f>
        <v>1.1000000000000001</v>
      </c>
      <c r="M47" s="45"/>
      <c r="N47" s="45">
        <f t="shared" si="30"/>
        <v>2025</v>
      </c>
    </row>
    <row r="48" spans="2:14" x14ac:dyDescent="0.35">
      <c r="B48" s="35" t="s">
        <v>86</v>
      </c>
      <c r="C48" s="178">
        <f t="shared" si="31"/>
        <v>0.47330160000000004</v>
      </c>
      <c r="D48" s="104">
        <f>INDEX('Energy content timeseries'!$13:$61,MATCH('Conversion and emission factors'!$B48,'Energy content timeseries'!$B$13:$B$61,0),MATCH('Conversion and emission factors'!$N48,'Energy content timeseries'!$13:$13,0))</f>
        <v>19.8161913888</v>
      </c>
      <c r="E48" s="81"/>
      <c r="F48" s="141">
        <f>INDEX('Emission factors timeseries'!$22:$71,MATCH($B48,'Emission factors timeseries'!$B$22:$B$71,0),MATCH($N48,'Emission factors timeseries'!$21:$21,0))</f>
        <v>363.59400000000005</v>
      </c>
      <c r="G48" s="106">
        <f t="shared" si="28"/>
        <v>100.99833333333335</v>
      </c>
      <c r="H48" s="107">
        <f t="shared" si="32"/>
        <v>2.0014023032831525</v>
      </c>
      <c r="I48" s="161"/>
      <c r="J48" s="168"/>
      <c r="K48" s="88"/>
      <c r="L48" s="111">
        <f>INDEX('Primary energy timeseries'!$14:$63,MATCH($B48,'Primary energy timeseries'!$B$14:$B$63,0),MATCH("Default value",'Primary energy timeseries'!$13:$13,0))</f>
        <v>1.1000000000000001</v>
      </c>
      <c r="M48" s="45"/>
      <c r="N48" s="45">
        <f t="shared" si="30"/>
        <v>2025</v>
      </c>
    </row>
    <row r="49" spans="2:14" x14ac:dyDescent="0.35">
      <c r="B49" s="35" t="s">
        <v>87</v>
      </c>
      <c r="C49" s="179">
        <f t="shared" si="27"/>
        <v>0.12961646491229131</v>
      </c>
      <c r="D49" s="180">
        <f>INDEX('Energy content timeseries'!$13:$61,MATCH('Conversion and emission factors'!$B49,'Energy content timeseries'!$B$13:$B$61,0),MATCH('Conversion and emission factors'!$N49,'Energy content timeseries'!$13:$13,0))</f>
        <v>5.426782152947812</v>
      </c>
      <c r="E49" s="81"/>
      <c r="F49" s="181">
        <f>INDEX('Emission factors timeseries'!$22:$71,MATCH($B49,'Emission factors timeseries'!$B$22:$B$71,0),MATCH($N49,'Emission factors timeseries'!$21:$21,0))</f>
        <v>491.7036490570901</v>
      </c>
      <c r="G49" s="182">
        <f t="shared" si="28"/>
        <v>136.58434696030281</v>
      </c>
      <c r="H49" s="183">
        <f t="shared" si="29"/>
        <v>0.74121349645620305</v>
      </c>
      <c r="I49" s="161"/>
      <c r="J49" s="168"/>
      <c r="K49" s="88"/>
      <c r="L49" s="111">
        <f>INDEX('Primary energy timeseries'!$14:$63,MATCH($B49,'Primary energy timeseries'!$B$14:$B$63,0),MATCH("Default value",'Primary energy timeseries'!$13:$13,0))</f>
        <v>1.1000000000000001</v>
      </c>
      <c r="M49" s="45"/>
      <c r="N49" s="45">
        <f t="shared" si="30"/>
        <v>2025</v>
      </c>
    </row>
    <row r="50" spans="2:14" x14ac:dyDescent="0.35">
      <c r="B50" s="36" t="s">
        <v>88</v>
      </c>
      <c r="C50" s="107">
        <f t="shared" si="27"/>
        <v>0.313</v>
      </c>
      <c r="D50" s="104">
        <f>INDEX('Energy content timeseries'!$13:$61,MATCH('Conversion and emission factors'!$B50,'Energy content timeseries'!$B$13:$B$61,0),MATCH('Conversion and emission factors'!$N50,'Energy content timeseries'!$13:$13,0))</f>
        <v>13.104684000000001</v>
      </c>
      <c r="E50" s="81"/>
      <c r="F50" s="141">
        <f>INDEX('Emission factors timeseries'!$22:$71,MATCH($B50,'Emission factors timeseries'!$B$22:$B$71,0),MATCH($N50,'Emission factors timeseries'!$21:$21,0))</f>
        <v>374.40000000000003</v>
      </c>
      <c r="G50" s="106">
        <f t="shared" si="28"/>
        <v>104</v>
      </c>
      <c r="H50" s="107">
        <f t="shared" si="29"/>
        <v>1.3628871360000001</v>
      </c>
      <c r="I50" s="161"/>
      <c r="J50" s="168"/>
      <c r="K50" s="88"/>
      <c r="L50" s="111">
        <f>INDEX('Primary energy timeseries'!$14:$63,MATCH($B50,'Primary energy timeseries'!$B$14:$B$63,0),MATCH("Default value",'Primary energy timeseries'!$13:$13,0))</f>
        <v>1.1000000000000001</v>
      </c>
      <c r="M50" s="45"/>
      <c r="N50" s="45">
        <f t="shared" si="30"/>
        <v>2025</v>
      </c>
    </row>
    <row r="51" spans="2:14" x14ac:dyDescent="0.35">
      <c r="B51" s="36" t="s">
        <v>89</v>
      </c>
      <c r="C51" s="107">
        <f t="shared" si="27"/>
        <v>0.443</v>
      </c>
      <c r="D51" s="104">
        <f>INDEX('Energy content timeseries'!$13:$61,MATCH('Conversion and emission factors'!$B51,'Energy content timeseries'!$B$13:$B$61,0),MATCH('Conversion and emission factors'!$N51,'Energy content timeseries'!$13:$13,0))</f>
        <v>18.547524000000003</v>
      </c>
      <c r="E51" s="81"/>
      <c r="F51" s="141">
        <f>INDEX('Emission factors timeseries'!$22:$71,MATCH($B51,'Emission factors timeseries'!$B$22:$B$71,0),MATCH($N51,'Emission factors timeseries'!$21:$21,0))</f>
        <v>355.89600000000002</v>
      </c>
      <c r="G51" s="106">
        <f t="shared" si="28"/>
        <v>98.86</v>
      </c>
      <c r="H51" s="107">
        <f t="shared" si="29"/>
        <v>1.8336082226400003</v>
      </c>
      <c r="I51" s="161"/>
      <c r="J51" s="168"/>
      <c r="K51" s="88"/>
      <c r="L51" s="111">
        <f>INDEX('Primary energy timeseries'!$14:$63,MATCH($B51,'Primary energy timeseries'!$B$14:$B$63,0),MATCH("Default value",'Primary energy timeseries'!$13:$13,0))</f>
        <v>1.1000000000000001</v>
      </c>
      <c r="M51" s="45"/>
      <c r="N51" s="45">
        <f t="shared" si="30"/>
        <v>2025</v>
      </c>
    </row>
    <row r="52" spans="2:14" x14ac:dyDescent="0.35">
      <c r="B52" s="36"/>
      <c r="C52" s="107"/>
      <c r="D52" s="104"/>
      <c r="E52" s="81"/>
      <c r="F52" s="141"/>
      <c r="G52" s="106"/>
      <c r="H52" s="107"/>
      <c r="I52" s="161"/>
      <c r="J52" s="168"/>
      <c r="K52" s="88"/>
      <c r="L52" s="111"/>
      <c r="M52" s="45"/>
      <c r="N52" s="45"/>
    </row>
    <row r="53" spans="2:14" x14ac:dyDescent="0.35">
      <c r="B53" s="170" t="s">
        <v>90</v>
      </c>
      <c r="C53" s="107"/>
      <c r="D53" s="104"/>
      <c r="E53" s="81"/>
      <c r="F53" s="141"/>
      <c r="G53" s="106"/>
      <c r="H53" s="107"/>
      <c r="I53" s="161"/>
      <c r="J53" s="168"/>
      <c r="K53" s="88"/>
      <c r="L53" s="111"/>
      <c r="M53" s="45"/>
      <c r="N53" s="45"/>
    </row>
    <row r="54" spans="2:14" x14ac:dyDescent="0.35">
      <c r="B54" s="36" t="s">
        <v>91</v>
      </c>
      <c r="C54" s="107">
        <f t="shared" ref="C54:C55" si="33">D54*1000/41868</f>
        <v>0.41272570937231301</v>
      </c>
      <c r="D54" s="104">
        <f>INDEX('Energy content timeseries'!$13:$61,MATCH('Conversion and emission factors'!$B54,'Energy content timeseries'!$B$13:$B$61,0),MATCH('Conversion and emission factors'!$N54,'Energy content timeseries'!$13:$13,0))</f>
        <v>17.28</v>
      </c>
      <c r="E54" s="81"/>
      <c r="F54" s="141" t="str">
        <f>INDEX('Emission factors timeseries'!$22:$71,MATCH($B54,'Emission factors timeseries'!$B$22:$B$71,0),MATCH($N54,'Emission factors timeseries'!$21:$21,0))</f>
        <v>-</v>
      </c>
      <c r="G54" s="106" t="s">
        <v>58</v>
      </c>
      <c r="H54" s="107" t="s">
        <v>58</v>
      </c>
      <c r="I54" s="161"/>
      <c r="J54" s="168"/>
      <c r="K54" s="88"/>
      <c r="L54" s="111">
        <f>INDEX('Primary energy timeseries'!$14:$63,MATCH($B54,'Primary energy timeseries'!$B$14:$B$63,0),MATCH("Default value",'Primary energy timeseries'!$13:$13,0))</f>
        <v>1.1000000000000001</v>
      </c>
      <c r="M54" s="45"/>
      <c r="N54" s="45">
        <f t="shared" ref="N54:N55" si="34">$D$2</f>
        <v>2025</v>
      </c>
    </row>
    <row r="55" spans="2:14" ht="15" thickBot="1" x14ac:dyDescent="0.4">
      <c r="B55" s="79" t="s">
        <v>92</v>
      </c>
      <c r="C55" s="145">
        <f t="shared" si="33"/>
        <v>0.31312697047864718</v>
      </c>
      <c r="D55" s="142">
        <f>INDEX('Energy content timeseries'!$13:$61,MATCH('Conversion and emission factors'!$B55,'Energy content timeseries'!$B$13:$B$61,0),MATCH('Conversion and emission factors'!$N55,'Energy content timeseries'!$13:$13,0))</f>
        <v>13.11</v>
      </c>
      <c r="E55" s="82"/>
      <c r="F55" s="143" t="str">
        <f>INDEX('Emission factors timeseries'!$22:$71,MATCH($B55,'Emission factors timeseries'!$B$22:$B$71,0),MATCH($N55,'Emission factors timeseries'!$21:$21,0))</f>
        <v>-</v>
      </c>
      <c r="G55" s="144" t="s">
        <v>58</v>
      </c>
      <c r="H55" s="145" t="s">
        <v>58</v>
      </c>
      <c r="I55" s="92"/>
      <c r="J55" s="169"/>
      <c r="K55" s="89"/>
      <c r="L55" s="138">
        <f>INDEX('Primary energy timeseries'!$14:$63,MATCH($B55,'Primary energy timeseries'!$B$14:$B$63,0),MATCH("Default value",'Primary energy timeseries'!$13:$13,0))</f>
        <v>1.1000000000000001</v>
      </c>
      <c r="M55" s="64" t="s">
        <v>93</v>
      </c>
      <c r="N55" s="79">
        <f t="shared" si="34"/>
        <v>2025</v>
      </c>
    </row>
    <row r="56" spans="2:14" ht="15" thickBot="1" x14ac:dyDescent="0.4">
      <c r="C56" s="51"/>
      <c r="D56" s="51"/>
      <c r="E56" s="51"/>
      <c r="F56" s="51"/>
      <c r="G56" s="51"/>
      <c r="H56" s="51"/>
      <c r="I56" s="51"/>
      <c r="J56" s="8"/>
      <c r="K56" s="8"/>
      <c r="L56" s="51"/>
    </row>
    <row r="57" spans="2:14" ht="15" thickBot="1" x14ac:dyDescent="0.4">
      <c r="B57" s="200" t="s">
        <v>94</v>
      </c>
      <c r="C57" s="208" t="s">
        <v>42</v>
      </c>
      <c r="D57" s="209"/>
      <c r="E57" s="209"/>
      <c r="F57" s="208" t="s">
        <v>43</v>
      </c>
      <c r="G57" s="209"/>
      <c r="H57" s="209"/>
      <c r="I57" s="210"/>
      <c r="J57" s="77"/>
      <c r="K57" s="78"/>
      <c r="L57" s="58" t="s">
        <v>46</v>
      </c>
      <c r="M57" s="196" t="s">
        <v>47</v>
      </c>
      <c r="N57" s="202" t="s">
        <v>48</v>
      </c>
    </row>
    <row r="58" spans="2:14" ht="15" thickBot="1" x14ac:dyDescent="0.4">
      <c r="B58" s="201"/>
      <c r="C58" s="65"/>
      <c r="D58" s="61" t="s">
        <v>95</v>
      </c>
      <c r="E58" s="61"/>
      <c r="F58" s="65" t="s">
        <v>52</v>
      </c>
      <c r="G58" s="66" t="s">
        <v>53</v>
      </c>
      <c r="H58" s="61" t="s">
        <v>96</v>
      </c>
      <c r="I58" s="62"/>
      <c r="J58" s="72"/>
      <c r="K58" s="73"/>
      <c r="L58" s="62" t="s">
        <v>58</v>
      </c>
      <c r="M58" s="197"/>
      <c r="N58" s="203"/>
    </row>
    <row r="59" spans="2:14" x14ac:dyDescent="0.35">
      <c r="B59" s="35" t="s">
        <v>97</v>
      </c>
      <c r="C59" s="84"/>
      <c r="D59" s="128">
        <f>INDEX('Energy content timeseries'!$13:$61,MATCH('Conversion and emission factors'!$B59,'Energy content timeseries'!$B$13:$B$61,0),MATCH('Conversion and emission factors'!$N59,'Energy content timeseries'!$13:$13,0))</f>
        <v>39.333376609792239</v>
      </c>
      <c r="E59" s="83"/>
      <c r="F59" s="129">
        <f>INDEX('Emission factors timeseries'!$22:$71,MATCH($B59,'Emission factors timeseries'!$B$22:$B$71,0),MATCH($N59,'Emission factors timeseries'!$21:$21,0))</f>
        <v>183.54098419180471</v>
      </c>
      <c r="G59" s="116">
        <f t="shared" ref="G59:G60" si="35">F59/3.6</f>
        <v>50.983606719945755</v>
      </c>
      <c r="H59" s="131">
        <f>D59*G59/1000</f>
        <v>2.005357404041161</v>
      </c>
      <c r="I59" s="81"/>
      <c r="J59" s="86"/>
      <c r="K59" s="88"/>
      <c r="L59" s="139">
        <f>INDEX('Primary energy timeseries'!$14:$63,MATCH($B59,'Primary energy timeseries'!$B$14:$B$63,0),MATCH("Default value",'Primary energy timeseries'!$13:$13,0))</f>
        <v>1.1000000000000001</v>
      </c>
      <c r="M59" s="36" t="s">
        <v>144</v>
      </c>
      <c r="N59" s="45">
        <f t="shared" ref="N59:N60" si="36">$D$2</f>
        <v>2025</v>
      </c>
    </row>
    <row r="60" spans="2:14" ht="15" thickBot="1" x14ac:dyDescent="0.4">
      <c r="B60" s="76" t="s">
        <v>98</v>
      </c>
      <c r="C60" s="85"/>
      <c r="D60" s="130">
        <f>INDEX('Energy content timeseries'!$13:$61,MATCH('Conversion and emission factors'!$B60,'Energy content timeseries'!$B$13:$B$61,0),MATCH('Conversion and emission factors'!$N60,'Energy content timeseries'!$13:$13,0))</f>
        <v>35.478705702032599</v>
      </c>
      <c r="E60" s="82"/>
      <c r="F60" s="132">
        <f>INDEX('Emission factors timeseries'!$22:$71,MATCH($B60,'Emission factors timeseries'!$B$22:$B$71,0),MATCH($N60,'Emission factors timeseries'!$21:$21,0))</f>
        <v>203.48224411508281</v>
      </c>
      <c r="G60" s="123">
        <f t="shared" si="35"/>
        <v>56.522845587523001</v>
      </c>
      <c r="H60" s="133">
        <f>D60*G60/1000</f>
        <v>2.0053574040411606</v>
      </c>
      <c r="I60" s="82"/>
      <c r="J60" s="87"/>
      <c r="K60" s="89"/>
      <c r="L60" s="140">
        <f>INDEX('Primary energy timeseries'!$14:$63,MATCH($B60,'Primary energy timeseries'!$B$14:$B$63,0),MATCH("Default value",'Primary energy timeseries'!$13:$13,0))</f>
        <v>1.1000000000000001</v>
      </c>
      <c r="M60" s="36" t="s">
        <v>144</v>
      </c>
      <c r="N60" s="79">
        <f t="shared" si="36"/>
        <v>2025</v>
      </c>
    </row>
    <row r="61" spans="2:14" ht="15" thickBot="1" x14ac:dyDescent="0.4">
      <c r="C61" s="51"/>
      <c r="D61" s="51"/>
      <c r="E61" s="51"/>
      <c r="F61" s="51"/>
      <c r="G61" s="51"/>
      <c r="H61" s="51"/>
      <c r="I61" s="51"/>
      <c r="J61" s="8"/>
      <c r="K61" s="8"/>
      <c r="L61" s="51"/>
    </row>
    <row r="62" spans="2:14" ht="15" thickBot="1" x14ac:dyDescent="0.4">
      <c r="B62" s="200" t="s">
        <v>99</v>
      </c>
      <c r="C62" s="71"/>
      <c r="D62" s="71"/>
      <c r="E62" s="71"/>
      <c r="F62" s="208" t="s">
        <v>43</v>
      </c>
      <c r="G62" s="209"/>
      <c r="H62" s="209"/>
      <c r="I62" s="210"/>
      <c r="J62" s="77"/>
      <c r="K62" s="77"/>
      <c r="L62" s="58" t="s">
        <v>46</v>
      </c>
      <c r="M62" s="204" t="s">
        <v>47</v>
      </c>
      <c r="N62" s="206" t="s">
        <v>48</v>
      </c>
    </row>
    <row r="63" spans="2:14" ht="15" thickBot="1" x14ac:dyDescent="0.4">
      <c r="B63" s="201"/>
      <c r="C63" s="61"/>
      <c r="D63" s="61"/>
      <c r="E63" s="61"/>
      <c r="F63" s="67" t="s">
        <v>52</v>
      </c>
      <c r="G63" s="68" t="s">
        <v>53</v>
      </c>
      <c r="H63" s="69"/>
      <c r="I63" s="70"/>
      <c r="J63" s="72"/>
      <c r="K63" s="73"/>
      <c r="L63" s="63" t="s">
        <v>58</v>
      </c>
      <c r="M63" s="205"/>
      <c r="N63" s="207"/>
    </row>
    <row r="64" spans="2:14" ht="174.5" thickBot="1" x14ac:dyDescent="0.4">
      <c r="B64" s="80" t="s">
        <v>100</v>
      </c>
      <c r="C64" s="90"/>
      <c r="D64" s="91"/>
      <c r="E64" s="91"/>
      <c r="F64" s="134">
        <f>INDEX('Emission factors timeseries'!$22:$71,MATCH($B64,'Emission factors timeseries'!$B$22:$B$71,0),MATCH($N64,'Emission factors timeseries'!$21:$21,0))</f>
        <v>197.80338395877118</v>
      </c>
      <c r="G64" s="135">
        <f t="shared" ref="G64:G65" si="37">F64/3.6</f>
        <v>54.945384432991993</v>
      </c>
      <c r="H64" s="94"/>
      <c r="I64" s="95"/>
      <c r="J64" s="93"/>
      <c r="K64" s="93"/>
      <c r="L64" s="136">
        <f>INDEX('Primary energy timeseries'!$14:$63,MATCH($B64,'Primary energy timeseries'!$B$14:$B$63,0),MATCH($N64,'Primary energy timeseries'!$56:$56,0))</f>
        <v>1.7391684123333719</v>
      </c>
      <c r="M64" s="100" t="s">
        <v>146</v>
      </c>
      <c r="N64" s="45">
        <f t="shared" ref="N64:N65" si="38">$D$2</f>
        <v>2025</v>
      </c>
    </row>
    <row r="65" spans="2:14" ht="189" thickBot="1" x14ac:dyDescent="0.4">
      <c r="B65" s="79" t="s">
        <v>101</v>
      </c>
      <c r="C65" s="92"/>
      <c r="D65" s="92"/>
      <c r="E65" s="92"/>
      <c r="F65" s="122">
        <f>INDEX('Emission factors timeseries'!$22:$71,MATCH($B65,'Emission factors timeseries'!$B$22:$B$71,0),MATCH($N65,'Emission factors timeseries'!$21:$21,0))</f>
        <v>178.32767437971518</v>
      </c>
      <c r="G65" s="123">
        <f t="shared" si="37"/>
        <v>49.535465105476433</v>
      </c>
      <c r="H65" s="92"/>
      <c r="I65" s="82"/>
      <c r="J65" s="87"/>
      <c r="K65" s="87"/>
      <c r="L65" s="171">
        <f>INDEX('Primary energy timeseries'!$14:$63,MATCH($B65,'Primary energy timeseries'!$B$14:$B$63,0),MATCH($N65,'Primary energy timeseries'!$56:$56,0))</f>
        <v>1.5760672165921423</v>
      </c>
      <c r="M65" s="101" t="s">
        <v>147</v>
      </c>
      <c r="N65" s="79">
        <f t="shared" si="38"/>
        <v>2025</v>
      </c>
    </row>
    <row r="69" spans="2:14" x14ac:dyDescent="0.35">
      <c r="D69" s="96"/>
    </row>
  </sheetData>
  <mergeCells count="19">
    <mergeCell ref="B42:B43"/>
    <mergeCell ref="B57:B58"/>
    <mergeCell ref="B62:B63"/>
    <mergeCell ref="N42:N43"/>
    <mergeCell ref="M42:M43"/>
    <mergeCell ref="M57:M58"/>
    <mergeCell ref="N57:N58"/>
    <mergeCell ref="M62:M63"/>
    <mergeCell ref="N62:N63"/>
    <mergeCell ref="C42:E42"/>
    <mergeCell ref="F42:I42"/>
    <mergeCell ref="C57:E57"/>
    <mergeCell ref="F57:I57"/>
    <mergeCell ref="F62:I62"/>
    <mergeCell ref="B19:B20"/>
    <mergeCell ref="C19:E19"/>
    <mergeCell ref="F19:I19"/>
    <mergeCell ref="M19:M20"/>
    <mergeCell ref="N19:N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562F-8DCF-4CC3-BDE6-5FDB8AC439FE}">
  <dimension ref="B2:AC53"/>
  <sheetViews>
    <sheetView workbookViewId="0"/>
  </sheetViews>
  <sheetFormatPr defaultColWidth="9.1796875" defaultRowHeight="14.5" x14ac:dyDescent="0.35"/>
  <cols>
    <col min="2" max="2" width="35.7265625" customWidth="1"/>
    <col min="3" max="3" width="10.1796875" customWidth="1"/>
    <col min="4" max="4" width="37.81640625" customWidth="1"/>
    <col min="5" max="5" width="7.81640625" bestFit="1" customWidth="1"/>
    <col min="6" max="29" width="7.26953125" customWidth="1"/>
  </cols>
  <sheetData>
    <row r="2" spans="2:29" ht="17.5" thickBot="1" x14ac:dyDescent="0.45">
      <c r="B2" s="10" t="s">
        <v>102</v>
      </c>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2:29" ht="15" thickTop="1" x14ac:dyDescent="0.35">
      <c r="B3" s="11" t="s">
        <v>29</v>
      </c>
      <c r="C3" s="11"/>
      <c r="D3" s="9"/>
      <c r="E3" s="9"/>
      <c r="F3" s="9"/>
      <c r="G3" s="9"/>
      <c r="H3" s="9"/>
      <c r="I3" s="9"/>
      <c r="J3" s="9"/>
      <c r="K3" s="9"/>
      <c r="L3" s="9"/>
      <c r="M3" s="9"/>
      <c r="N3" s="9"/>
      <c r="O3" s="9"/>
      <c r="P3" s="9"/>
      <c r="Q3" s="9"/>
      <c r="R3" s="9"/>
      <c r="S3" s="9"/>
      <c r="T3" s="9"/>
      <c r="U3" s="9"/>
      <c r="V3" s="9"/>
      <c r="W3" s="9"/>
      <c r="X3" s="9"/>
      <c r="Y3" s="9"/>
      <c r="Z3" s="9"/>
      <c r="AA3" s="9"/>
      <c r="AB3" s="9"/>
      <c r="AC3" s="9"/>
    </row>
    <row r="5" spans="2:29" ht="15" thickBot="1" x14ac:dyDescent="0.4">
      <c r="B5" s="12" t="s">
        <v>30</v>
      </c>
      <c r="C5" s="8"/>
      <c r="D5" s="8"/>
      <c r="E5" s="8"/>
      <c r="F5" s="8"/>
      <c r="G5" s="8"/>
      <c r="H5" s="8"/>
      <c r="I5" s="8"/>
      <c r="J5" s="8"/>
      <c r="K5" s="8"/>
      <c r="L5" s="8"/>
    </row>
    <row r="6" spans="2:29" x14ac:dyDescent="0.35">
      <c r="B6" s="99" t="s">
        <v>103</v>
      </c>
    </row>
    <row r="7" spans="2:29" x14ac:dyDescent="0.35">
      <c r="B7" s="99" t="s">
        <v>104</v>
      </c>
    </row>
    <row r="8" spans="2:29" x14ac:dyDescent="0.35">
      <c r="B8" s="99" t="s">
        <v>105</v>
      </c>
    </row>
    <row r="9" spans="2:29" x14ac:dyDescent="0.35">
      <c r="B9" s="99" t="s">
        <v>106</v>
      </c>
    </row>
    <row r="10" spans="2:29" x14ac:dyDescent="0.35">
      <c r="B10" s="99" t="s">
        <v>137</v>
      </c>
    </row>
    <row r="11" spans="2:29" x14ac:dyDescent="0.35">
      <c r="B11" s="99" t="s">
        <v>107</v>
      </c>
    </row>
    <row r="13" spans="2:29" ht="15" thickBot="1" x14ac:dyDescent="0.4">
      <c r="B13" s="12" t="str">
        <f>'Conversion and emission factors'!B19</f>
        <v>Liquid</v>
      </c>
      <c r="C13" s="12" t="s">
        <v>108</v>
      </c>
      <c r="D13" s="12" t="s">
        <v>47</v>
      </c>
      <c r="E13" s="12">
        <v>2001</v>
      </c>
      <c r="F13" s="12">
        <f>E13+1</f>
        <v>2002</v>
      </c>
      <c r="G13" s="12">
        <f t="shared" ref="G13:AC13" si="0">F13+1</f>
        <v>2003</v>
      </c>
      <c r="H13" s="12">
        <f t="shared" si="0"/>
        <v>2004</v>
      </c>
      <c r="I13" s="12">
        <f t="shared" si="0"/>
        <v>2005</v>
      </c>
      <c r="J13" s="12">
        <f t="shared" si="0"/>
        <v>2006</v>
      </c>
      <c r="K13" s="12">
        <f t="shared" si="0"/>
        <v>2007</v>
      </c>
      <c r="L13" s="12">
        <f t="shared" si="0"/>
        <v>2008</v>
      </c>
      <c r="M13" s="12">
        <f t="shared" si="0"/>
        <v>2009</v>
      </c>
      <c r="N13" s="12">
        <f t="shared" si="0"/>
        <v>2010</v>
      </c>
      <c r="O13" s="12">
        <f t="shared" si="0"/>
        <v>2011</v>
      </c>
      <c r="P13" s="12">
        <f t="shared" si="0"/>
        <v>2012</v>
      </c>
      <c r="Q13" s="12">
        <f t="shared" si="0"/>
        <v>2013</v>
      </c>
      <c r="R13" s="12">
        <f t="shared" si="0"/>
        <v>2014</v>
      </c>
      <c r="S13" s="12">
        <f t="shared" si="0"/>
        <v>2015</v>
      </c>
      <c r="T13" s="12">
        <f t="shared" si="0"/>
        <v>2016</v>
      </c>
      <c r="U13" s="12">
        <f t="shared" si="0"/>
        <v>2017</v>
      </c>
      <c r="V13" s="12">
        <f t="shared" si="0"/>
        <v>2018</v>
      </c>
      <c r="W13" s="12">
        <f t="shared" si="0"/>
        <v>2019</v>
      </c>
      <c r="X13" s="12">
        <f t="shared" si="0"/>
        <v>2020</v>
      </c>
      <c r="Y13" s="12">
        <f t="shared" si="0"/>
        <v>2021</v>
      </c>
      <c r="Z13" s="12">
        <f t="shared" si="0"/>
        <v>2022</v>
      </c>
      <c r="AA13" s="12">
        <f t="shared" si="0"/>
        <v>2023</v>
      </c>
      <c r="AB13" s="12">
        <f t="shared" si="0"/>
        <v>2024</v>
      </c>
      <c r="AC13" s="12">
        <f t="shared" si="0"/>
        <v>2025</v>
      </c>
    </row>
    <row r="14" spans="2:29" x14ac:dyDescent="0.35">
      <c r="B14" s="42" t="s">
        <v>59</v>
      </c>
    </row>
    <row r="15" spans="2:29" x14ac:dyDescent="0.35">
      <c r="B15" s="7" t="s">
        <v>60</v>
      </c>
      <c r="C15" s="7" t="s">
        <v>50</v>
      </c>
      <c r="E15" s="32">
        <v>42.814216799999997</v>
      </c>
      <c r="F15" s="32">
        <v>42.814216799999997</v>
      </c>
      <c r="G15" s="32">
        <v>42.814216799999997</v>
      </c>
      <c r="H15" s="32">
        <v>42.814216799999997</v>
      </c>
      <c r="I15" s="32">
        <v>42.814216799999997</v>
      </c>
      <c r="J15" s="32">
        <v>42.814216799999997</v>
      </c>
      <c r="K15" s="32">
        <v>42.814216799999997</v>
      </c>
      <c r="L15" s="32">
        <v>42.814216799999997</v>
      </c>
      <c r="M15" s="32">
        <v>42.814216799999997</v>
      </c>
      <c r="N15" s="32">
        <v>42.814216799999997</v>
      </c>
      <c r="O15" s="32">
        <v>42.814216799999997</v>
      </c>
      <c r="P15" s="32">
        <v>42.814216799999997</v>
      </c>
      <c r="Q15" s="32">
        <v>42.814216799999997</v>
      </c>
      <c r="R15" s="32">
        <v>42.814216799999997</v>
      </c>
      <c r="S15" s="32">
        <v>42.814216799999997</v>
      </c>
      <c r="T15" s="32">
        <v>42.814216799999997</v>
      </c>
      <c r="U15" s="32">
        <v>42.814216799999997</v>
      </c>
      <c r="V15" s="32">
        <v>42.814216799999997</v>
      </c>
      <c r="W15" s="32">
        <v>42.814216799999997</v>
      </c>
      <c r="X15" s="32">
        <v>42.814216799999997</v>
      </c>
      <c r="Y15" s="32">
        <v>42.814216799999997</v>
      </c>
      <c r="Z15" s="32">
        <v>42.814216799999997</v>
      </c>
      <c r="AA15" s="32">
        <v>42.814216799999997</v>
      </c>
      <c r="AB15" s="32">
        <v>42.814216799999997</v>
      </c>
      <c r="AC15" s="32">
        <v>42.814216799999997</v>
      </c>
    </row>
    <row r="16" spans="2:29" x14ac:dyDescent="0.35">
      <c r="B16" s="7" t="s">
        <v>61</v>
      </c>
      <c r="C16" s="7" t="s">
        <v>50</v>
      </c>
      <c r="E16" s="32">
        <v>44.589419999999997</v>
      </c>
      <c r="F16" s="32">
        <v>44.589419999999997</v>
      </c>
      <c r="G16" s="32">
        <v>44.589419999999997</v>
      </c>
      <c r="H16" s="32">
        <v>44.589419999999997</v>
      </c>
      <c r="I16" s="32">
        <v>44.589419999999997</v>
      </c>
      <c r="J16" s="32">
        <v>44.589419999999997</v>
      </c>
      <c r="K16" s="32">
        <v>44.589419999999997</v>
      </c>
      <c r="L16" s="32">
        <v>44.589419999999997</v>
      </c>
      <c r="M16" s="32">
        <v>44.589419999999997</v>
      </c>
      <c r="N16" s="32">
        <v>44.589419999999997</v>
      </c>
      <c r="O16" s="32">
        <v>44.589419999999997</v>
      </c>
      <c r="P16" s="32">
        <v>44.589419999999997</v>
      </c>
      <c r="Q16" s="32">
        <v>44.589419999999997</v>
      </c>
      <c r="R16" s="32">
        <v>44.589419999999997</v>
      </c>
      <c r="S16" s="32">
        <v>44.589419999999997</v>
      </c>
      <c r="T16" s="32">
        <v>44.589419999999997</v>
      </c>
      <c r="U16" s="32">
        <v>44.589419999999997</v>
      </c>
      <c r="V16" s="32">
        <v>44.589419999999997</v>
      </c>
      <c r="W16" s="32">
        <v>44.589419999999997</v>
      </c>
      <c r="X16" s="32">
        <v>44.589419999999997</v>
      </c>
      <c r="Y16" s="32">
        <v>44.589419999999997</v>
      </c>
      <c r="Z16" s="32">
        <v>44.589419999999997</v>
      </c>
      <c r="AA16" s="32">
        <v>44.589419999999997</v>
      </c>
      <c r="AB16" s="32">
        <v>44.589419999999997</v>
      </c>
      <c r="AC16" s="32">
        <v>44.589419999999997</v>
      </c>
    </row>
    <row r="17" spans="2:29" x14ac:dyDescent="0.35">
      <c r="B17" s="7" t="s">
        <v>62</v>
      </c>
      <c r="C17" s="7" t="s">
        <v>50</v>
      </c>
      <c r="E17" s="32">
        <v>44.195860800000005</v>
      </c>
      <c r="F17" s="32">
        <v>44.195860800000005</v>
      </c>
      <c r="G17" s="32">
        <v>44.195860800000005</v>
      </c>
      <c r="H17" s="32">
        <v>44.195860800000005</v>
      </c>
      <c r="I17" s="32">
        <v>44.195860800000005</v>
      </c>
      <c r="J17" s="32">
        <v>44.195860800000005</v>
      </c>
      <c r="K17" s="32">
        <v>44.195860800000005</v>
      </c>
      <c r="L17" s="32">
        <v>44.195860800000005</v>
      </c>
      <c r="M17" s="32">
        <v>44.195860800000005</v>
      </c>
      <c r="N17" s="32">
        <v>44.195860800000005</v>
      </c>
      <c r="O17" s="32">
        <v>44.195860800000005</v>
      </c>
      <c r="P17" s="32">
        <v>44.195860800000005</v>
      </c>
      <c r="Q17" s="32">
        <v>44.195860800000005</v>
      </c>
      <c r="R17" s="32">
        <v>44.195860800000005</v>
      </c>
      <c r="S17" s="32">
        <v>44.195860800000005</v>
      </c>
      <c r="T17" s="32">
        <v>44.195860800000005</v>
      </c>
      <c r="U17" s="32">
        <v>44.195860800000005</v>
      </c>
      <c r="V17" s="32">
        <v>44.195860800000005</v>
      </c>
      <c r="W17" s="32">
        <v>44.195860800000005</v>
      </c>
      <c r="X17" s="32">
        <v>44.195860800000005</v>
      </c>
      <c r="Y17" s="32">
        <v>44.195860800000005</v>
      </c>
      <c r="Z17" s="32">
        <v>44.195860800000005</v>
      </c>
      <c r="AA17" s="32">
        <v>44.195860800000005</v>
      </c>
      <c r="AB17" s="32">
        <v>44.195860800000005</v>
      </c>
      <c r="AC17" s="32">
        <v>44.195860800000005</v>
      </c>
    </row>
    <row r="18" spans="2:29" x14ac:dyDescent="0.35">
      <c r="B18" t="s">
        <v>63</v>
      </c>
      <c r="C18" s="7" t="s">
        <v>50</v>
      </c>
      <c r="E18" s="32">
        <v>44.099564399999998</v>
      </c>
      <c r="F18" s="32">
        <v>44.099564399999998</v>
      </c>
      <c r="G18" s="32">
        <v>44.099564399999998</v>
      </c>
      <c r="H18" s="32">
        <v>44.099564399999998</v>
      </c>
      <c r="I18" s="32">
        <v>44.099564399999998</v>
      </c>
      <c r="J18" s="32">
        <v>44.099564399999998</v>
      </c>
      <c r="K18" s="32">
        <v>44.099564399999998</v>
      </c>
      <c r="L18" s="32">
        <v>44.099564399999998</v>
      </c>
      <c r="M18" s="32">
        <v>44.099564399999998</v>
      </c>
      <c r="N18" s="32">
        <v>44.099564399999998</v>
      </c>
      <c r="O18" s="32">
        <v>44.099564399999998</v>
      </c>
      <c r="P18" s="32">
        <v>44.099564399999998</v>
      </c>
      <c r="Q18" s="32">
        <v>44.099564399999998</v>
      </c>
      <c r="R18" s="32">
        <v>44.099564399999998</v>
      </c>
      <c r="S18" s="32">
        <v>44.099564399999998</v>
      </c>
      <c r="T18" s="32">
        <v>44.099564399999998</v>
      </c>
      <c r="U18" s="32">
        <v>44.099564399999998</v>
      </c>
      <c r="V18" s="32">
        <v>44.099564399999998</v>
      </c>
      <c r="W18" s="32">
        <v>44.099564399999998</v>
      </c>
      <c r="X18" s="32">
        <v>44.099564399999998</v>
      </c>
      <c r="Y18" s="32">
        <v>44.099564399999998</v>
      </c>
      <c r="Z18" s="32">
        <v>44.099564399999998</v>
      </c>
      <c r="AA18" s="32">
        <v>44.099564399999998</v>
      </c>
      <c r="AB18" s="32">
        <v>44.099564399999998</v>
      </c>
      <c r="AC18" s="32">
        <v>44.099564399999998</v>
      </c>
    </row>
    <row r="19" spans="2:29" x14ac:dyDescent="0.35">
      <c r="B19" s="7" t="s">
        <v>64</v>
      </c>
      <c r="C19" s="7" t="s">
        <v>50</v>
      </c>
      <c r="E19" s="32">
        <v>43.308259200000002</v>
      </c>
      <c r="F19" s="32">
        <v>43.308259200000002</v>
      </c>
      <c r="G19" s="32">
        <v>43.308259200000002</v>
      </c>
      <c r="H19" s="32">
        <v>43.308259200000002</v>
      </c>
      <c r="I19" s="32">
        <v>43.308259200000002</v>
      </c>
      <c r="J19" s="32">
        <v>43.308259200000002</v>
      </c>
      <c r="K19" s="32">
        <v>43.308259200000002</v>
      </c>
      <c r="L19" s="32">
        <v>43.308259200000002</v>
      </c>
      <c r="M19" s="32">
        <v>43.308259200000002</v>
      </c>
      <c r="N19" s="32">
        <v>43.308259200000002</v>
      </c>
      <c r="O19" s="32">
        <v>43.308259200000002</v>
      </c>
      <c r="P19" s="32">
        <v>43.308259200000002</v>
      </c>
      <c r="Q19" s="32">
        <v>43.308259200000002</v>
      </c>
      <c r="R19" s="32">
        <v>43.308259200000002</v>
      </c>
      <c r="S19" s="32">
        <v>43.308259200000002</v>
      </c>
      <c r="T19" s="32">
        <v>43.308259200000002</v>
      </c>
      <c r="U19" s="32">
        <v>43.308259200000002</v>
      </c>
      <c r="V19" s="32">
        <v>43.308259200000002</v>
      </c>
      <c r="W19" s="32">
        <v>43.308259200000002</v>
      </c>
      <c r="X19" s="32">
        <v>43.308259200000002</v>
      </c>
      <c r="Y19" s="32">
        <v>43.308259200000002</v>
      </c>
      <c r="Z19" s="32">
        <v>43.308259200000002</v>
      </c>
      <c r="AA19" s="32">
        <v>43.308259200000002</v>
      </c>
      <c r="AB19" s="32">
        <v>43.308259200000002</v>
      </c>
      <c r="AC19" s="32">
        <v>43.308259200000002</v>
      </c>
    </row>
    <row r="20" spans="2:29" x14ac:dyDescent="0.35">
      <c r="B20" t="s">
        <v>65</v>
      </c>
      <c r="C20" s="7" t="s">
        <v>50</v>
      </c>
      <c r="E20" s="32">
        <v>41.235793200000003</v>
      </c>
      <c r="F20" s="32">
        <v>41.235793200000003</v>
      </c>
      <c r="G20" s="32">
        <v>41.235793200000003</v>
      </c>
      <c r="H20" s="32">
        <v>41.235793200000003</v>
      </c>
      <c r="I20" s="32">
        <v>41.235793200000003</v>
      </c>
      <c r="J20" s="32">
        <v>41.235793200000003</v>
      </c>
      <c r="K20" s="32">
        <v>41.235793200000003</v>
      </c>
      <c r="L20" s="32">
        <v>41.235793200000003</v>
      </c>
      <c r="M20" s="32">
        <v>41.235793200000003</v>
      </c>
      <c r="N20" s="32">
        <v>41.235793200000003</v>
      </c>
      <c r="O20" s="32">
        <v>41.235793200000003</v>
      </c>
      <c r="P20" s="32">
        <v>41.235793200000003</v>
      </c>
      <c r="Q20" s="32">
        <v>41.235793200000003</v>
      </c>
      <c r="R20" s="32">
        <v>41.235793200000003</v>
      </c>
      <c r="S20" s="32">
        <v>41.235793200000003</v>
      </c>
      <c r="T20" s="32">
        <v>41.235793200000003</v>
      </c>
      <c r="U20" s="32">
        <v>41.235793200000003</v>
      </c>
      <c r="V20" s="32">
        <v>41.235793200000003</v>
      </c>
      <c r="W20" s="32">
        <v>41.235793200000003</v>
      </c>
      <c r="X20" s="32">
        <v>41.235793200000003</v>
      </c>
      <c r="Y20" s="32">
        <v>41.235793200000003</v>
      </c>
      <c r="Z20" s="32">
        <v>41.235793200000003</v>
      </c>
      <c r="AA20" s="32">
        <v>41.235793200000003</v>
      </c>
      <c r="AB20" s="32">
        <v>41.235793200000003</v>
      </c>
      <c r="AC20" s="32">
        <v>41.235793200000003</v>
      </c>
    </row>
    <row r="21" spans="2:29" x14ac:dyDescent="0.35">
      <c r="B21" t="s">
        <v>66</v>
      </c>
      <c r="C21" s="7" t="s">
        <v>50</v>
      </c>
      <c r="D21" t="s">
        <v>67</v>
      </c>
      <c r="E21" s="32">
        <v>47.155928400000008</v>
      </c>
      <c r="F21" s="32">
        <v>47.155928400000008</v>
      </c>
      <c r="G21" s="32">
        <v>47.155928400000008</v>
      </c>
      <c r="H21" s="32">
        <v>47.155928400000008</v>
      </c>
      <c r="I21" s="32">
        <v>47.155928400000008</v>
      </c>
      <c r="J21" s="32">
        <v>47.155928400000008</v>
      </c>
      <c r="K21" s="32">
        <v>47.155928400000008</v>
      </c>
      <c r="L21" s="32">
        <v>47.155928400000008</v>
      </c>
      <c r="M21" s="32">
        <v>47.155928400000008</v>
      </c>
      <c r="N21" s="32">
        <v>47.155928400000008</v>
      </c>
      <c r="O21" s="32">
        <v>47.155928400000008</v>
      </c>
      <c r="P21" s="32">
        <v>47.155928400000008</v>
      </c>
      <c r="Q21" s="32">
        <v>47.155928400000008</v>
      </c>
      <c r="R21" s="32">
        <v>47.155928400000008</v>
      </c>
      <c r="S21" s="32">
        <v>47.155928400000008</v>
      </c>
      <c r="T21" s="32">
        <v>47.155928400000008</v>
      </c>
      <c r="U21" s="32">
        <v>47.155928400000008</v>
      </c>
      <c r="V21" s="32">
        <v>47.155928400000008</v>
      </c>
      <c r="W21" s="32">
        <v>47.155928400000008</v>
      </c>
      <c r="X21" s="32">
        <v>47.155928400000008</v>
      </c>
      <c r="Y21" s="32">
        <v>47.155928400000008</v>
      </c>
      <c r="Z21" s="32">
        <v>47.155928400000008</v>
      </c>
      <c r="AA21" s="32">
        <v>47.155928400000008</v>
      </c>
      <c r="AB21" s="32">
        <v>47.155928400000008</v>
      </c>
      <c r="AC21" s="32">
        <v>47.155928400000008</v>
      </c>
    </row>
    <row r="22" spans="2:29" x14ac:dyDescent="0.35">
      <c r="E22" s="25"/>
      <c r="F22" s="25"/>
      <c r="G22" s="25"/>
      <c r="H22" s="25"/>
      <c r="I22" s="25"/>
      <c r="J22" s="25"/>
      <c r="K22" s="25"/>
      <c r="L22" s="25"/>
      <c r="M22" s="25"/>
      <c r="N22" s="25"/>
      <c r="O22" s="25"/>
      <c r="P22" s="25"/>
    </row>
    <row r="23" spans="2:29" x14ac:dyDescent="0.35">
      <c r="B23" s="42" t="s">
        <v>68</v>
      </c>
      <c r="E23" s="25"/>
      <c r="F23" s="25"/>
      <c r="G23" s="25"/>
      <c r="H23" s="25"/>
      <c r="I23" s="25"/>
      <c r="J23" s="25"/>
      <c r="K23" s="25"/>
      <c r="L23" s="25"/>
      <c r="M23" s="25"/>
      <c r="N23" s="25"/>
      <c r="O23" s="25"/>
      <c r="P23" s="25"/>
    </row>
    <row r="24" spans="2:29" x14ac:dyDescent="0.35">
      <c r="B24" t="s">
        <v>69</v>
      </c>
      <c r="C24" t="s">
        <v>50</v>
      </c>
      <c r="E24" s="32">
        <v>26.499999999999996</v>
      </c>
      <c r="F24" s="32">
        <v>26.499999999999996</v>
      </c>
      <c r="G24" s="32">
        <v>26.499999999999996</v>
      </c>
      <c r="H24" s="32">
        <v>26.499999999999996</v>
      </c>
      <c r="I24" s="32">
        <v>26.499999999999996</v>
      </c>
      <c r="J24" s="32">
        <v>26.499999999999996</v>
      </c>
      <c r="K24" s="32">
        <v>26.499999999999996</v>
      </c>
      <c r="L24" s="32">
        <v>26.499999999999996</v>
      </c>
      <c r="M24" s="32">
        <v>26.499999999999996</v>
      </c>
      <c r="N24" s="32">
        <v>26.499999999999996</v>
      </c>
      <c r="O24" s="32">
        <v>26.499999999999996</v>
      </c>
      <c r="P24" s="32">
        <v>26.499999999999996</v>
      </c>
      <c r="Q24" s="32">
        <v>26.499999999999996</v>
      </c>
      <c r="R24" s="32">
        <v>26.499999999999996</v>
      </c>
      <c r="S24" s="32">
        <v>26.499999999999996</v>
      </c>
      <c r="T24" s="32">
        <v>26.499999999999996</v>
      </c>
      <c r="U24" s="32">
        <v>26.499999999999996</v>
      </c>
      <c r="V24" s="32">
        <v>26.499999999999996</v>
      </c>
      <c r="W24" s="32">
        <v>26.499999999999996</v>
      </c>
      <c r="X24" s="32">
        <v>26.499999999999996</v>
      </c>
      <c r="Y24" s="32">
        <v>26.499999999999996</v>
      </c>
      <c r="Z24" s="32">
        <v>26.499999999999996</v>
      </c>
      <c r="AA24" s="32">
        <v>26.499999999999996</v>
      </c>
      <c r="AB24" s="32">
        <v>26.499999999999996</v>
      </c>
      <c r="AC24" s="32">
        <v>26.499999999999996</v>
      </c>
    </row>
    <row r="25" spans="2:29" x14ac:dyDescent="0.35">
      <c r="B25" t="s">
        <v>70</v>
      </c>
      <c r="C25" t="s">
        <v>50</v>
      </c>
      <c r="D25" t="s">
        <v>109</v>
      </c>
      <c r="E25" s="32">
        <v>37.272727272727266</v>
      </c>
      <c r="F25" s="32">
        <v>37.272727272727266</v>
      </c>
      <c r="G25" s="32">
        <v>37.272727272727266</v>
      </c>
      <c r="H25" s="32">
        <v>37.272727272727266</v>
      </c>
      <c r="I25" s="32">
        <v>37.272727272727266</v>
      </c>
      <c r="J25" s="32">
        <v>37.272727272727266</v>
      </c>
      <c r="K25" s="32">
        <v>37.272727272727266</v>
      </c>
      <c r="L25" s="32">
        <v>37.272727272727266</v>
      </c>
      <c r="M25" s="32">
        <v>37.272727272727266</v>
      </c>
      <c r="N25" s="32">
        <v>37.272727272727266</v>
      </c>
      <c r="O25" s="32">
        <v>37.272727272727266</v>
      </c>
      <c r="P25" s="32">
        <v>37.272727272727266</v>
      </c>
      <c r="Q25" s="32">
        <v>37.272727272727266</v>
      </c>
      <c r="R25" s="32">
        <v>37.272727272727266</v>
      </c>
      <c r="S25" s="32">
        <v>37.272727272727266</v>
      </c>
      <c r="T25" s="32">
        <v>37.272727272727266</v>
      </c>
      <c r="U25" s="32">
        <v>37.272727272727266</v>
      </c>
      <c r="V25" s="32">
        <v>37.272727272727266</v>
      </c>
      <c r="W25" s="32">
        <v>37.272727272727266</v>
      </c>
      <c r="X25" s="32">
        <v>37.272727272727266</v>
      </c>
      <c r="Y25" s="32">
        <v>37.272727272727266</v>
      </c>
      <c r="Z25" s="32">
        <v>37.272727272727266</v>
      </c>
      <c r="AA25" s="32">
        <v>37.272727272727266</v>
      </c>
      <c r="AB25" s="32">
        <v>37.272727272727266</v>
      </c>
      <c r="AC25" s="32">
        <v>37.272727272727266</v>
      </c>
    </row>
    <row r="26" spans="2:29" x14ac:dyDescent="0.35">
      <c r="B26" t="s">
        <v>72</v>
      </c>
      <c r="C26" t="s">
        <v>50</v>
      </c>
      <c r="D26" t="s">
        <v>73</v>
      </c>
      <c r="E26" s="175"/>
      <c r="F26" s="175"/>
      <c r="G26" s="175"/>
      <c r="H26" s="175"/>
      <c r="I26" s="175"/>
      <c r="J26" s="175"/>
      <c r="K26" s="175"/>
      <c r="L26" s="175"/>
      <c r="M26" s="175"/>
      <c r="N26" s="175"/>
      <c r="O26" s="175"/>
      <c r="P26" s="175"/>
      <c r="Q26" s="175"/>
      <c r="R26" s="27">
        <v>44</v>
      </c>
      <c r="S26" s="27">
        <v>44</v>
      </c>
      <c r="T26" s="27">
        <v>44</v>
      </c>
      <c r="U26" s="27">
        <v>44</v>
      </c>
      <c r="V26" s="27">
        <v>44</v>
      </c>
      <c r="W26" s="27">
        <v>44</v>
      </c>
      <c r="X26" s="27">
        <v>44</v>
      </c>
      <c r="Y26" s="27">
        <v>44</v>
      </c>
      <c r="Z26" s="27">
        <v>44</v>
      </c>
      <c r="AA26" s="27">
        <v>44</v>
      </c>
      <c r="AB26" s="27">
        <v>44</v>
      </c>
      <c r="AC26" s="27">
        <v>44</v>
      </c>
    </row>
    <row r="27" spans="2:29" x14ac:dyDescent="0.35">
      <c r="B27" t="s">
        <v>74</v>
      </c>
      <c r="C27" t="s">
        <v>50</v>
      </c>
      <c r="D27" t="s">
        <v>75</v>
      </c>
      <c r="E27" s="175"/>
      <c r="F27" s="175"/>
      <c r="G27" s="175"/>
      <c r="H27" s="175"/>
      <c r="I27" s="175"/>
      <c r="J27" s="175"/>
      <c r="K27" s="175"/>
      <c r="L27" s="175"/>
      <c r="M27" s="175"/>
      <c r="N27" s="175"/>
      <c r="O27" s="175"/>
      <c r="P27" s="175"/>
      <c r="Q27" s="175"/>
      <c r="R27" s="27">
        <v>43</v>
      </c>
      <c r="S27" s="27">
        <v>43</v>
      </c>
      <c r="T27" s="27">
        <v>43</v>
      </c>
      <c r="U27" s="27">
        <v>43</v>
      </c>
      <c r="V27" s="27">
        <v>43</v>
      </c>
      <c r="W27" s="27">
        <v>43</v>
      </c>
      <c r="X27" s="27">
        <v>43</v>
      </c>
      <c r="Y27" s="27">
        <v>43</v>
      </c>
      <c r="Z27" s="27">
        <v>43</v>
      </c>
      <c r="AA27" s="27">
        <v>43</v>
      </c>
      <c r="AB27" s="27">
        <v>43</v>
      </c>
      <c r="AC27" s="27">
        <v>43</v>
      </c>
    </row>
    <row r="28" spans="2:29" x14ac:dyDescent="0.35">
      <c r="B28" t="s">
        <v>76</v>
      </c>
      <c r="C28" t="s">
        <v>50</v>
      </c>
      <c r="E28" s="175"/>
      <c r="F28" s="175"/>
      <c r="G28" s="175"/>
      <c r="H28" s="175"/>
      <c r="I28" s="175"/>
      <c r="J28" s="175"/>
      <c r="K28" s="175"/>
      <c r="L28" s="175"/>
      <c r="M28" s="175"/>
      <c r="N28" s="175"/>
      <c r="O28" s="175"/>
      <c r="P28" s="175"/>
      <c r="Q28" s="175"/>
      <c r="R28" s="27">
        <v>46</v>
      </c>
      <c r="S28" s="27">
        <v>46</v>
      </c>
      <c r="T28" s="27">
        <v>46</v>
      </c>
      <c r="U28" s="27">
        <v>46</v>
      </c>
      <c r="V28" s="27">
        <v>46</v>
      </c>
      <c r="W28" s="27">
        <v>46</v>
      </c>
      <c r="X28" s="27">
        <v>46</v>
      </c>
      <c r="Y28" s="27">
        <v>46</v>
      </c>
      <c r="Z28" s="27">
        <v>46</v>
      </c>
      <c r="AA28" s="27">
        <v>46</v>
      </c>
      <c r="AB28" s="27">
        <v>46</v>
      </c>
      <c r="AC28" s="27">
        <v>46</v>
      </c>
    </row>
    <row r="29" spans="2:29" x14ac:dyDescent="0.35">
      <c r="B29" t="s">
        <v>77</v>
      </c>
      <c r="C29" t="s">
        <v>50</v>
      </c>
      <c r="D29" t="s">
        <v>110</v>
      </c>
      <c r="E29" s="175"/>
      <c r="F29" s="175"/>
      <c r="G29" s="175"/>
      <c r="H29" s="175"/>
      <c r="I29" s="175"/>
      <c r="J29" s="175"/>
      <c r="K29" s="175"/>
      <c r="L29" s="175"/>
      <c r="M29" s="175"/>
      <c r="N29" s="175"/>
      <c r="O29" s="175"/>
      <c r="P29" s="175"/>
      <c r="Q29" s="175"/>
      <c r="R29" s="27">
        <v>44</v>
      </c>
      <c r="S29" s="27">
        <v>44</v>
      </c>
      <c r="T29" s="27">
        <v>44</v>
      </c>
      <c r="U29" s="27">
        <v>44</v>
      </c>
      <c r="V29" s="27">
        <v>44</v>
      </c>
      <c r="W29" s="27">
        <v>44</v>
      </c>
      <c r="X29" s="27">
        <v>44</v>
      </c>
      <c r="Y29" s="27">
        <v>44</v>
      </c>
      <c r="Z29" s="27">
        <v>44</v>
      </c>
      <c r="AA29" s="27">
        <v>44</v>
      </c>
      <c r="AB29" s="27">
        <v>44</v>
      </c>
      <c r="AC29" s="27">
        <v>44</v>
      </c>
    </row>
    <row r="30" spans="2:29" x14ac:dyDescent="0.35">
      <c r="E30" s="26"/>
      <c r="F30" s="26"/>
      <c r="G30" s="26"/>
      <c r="H30" s="26"/>
      <c r="I30" s="26"/>
      <c r="J30" s="26"/>
      <c r="K30" s="26"/>
      <c r="L30" s="26"/>
      <c r="M30" s="26"/>
      <c r="N30" s="26"/>
      <c r="O30" s="26"/>
      <c r="P30" s="26"/>
    </row>
    <row r="31" spans="2:29" x14ac:dyDescent="0.35">
      <c r="B31" s="42" t="s">
        <v>78</v>
      </c>
      <c r="E31" s="26"/>
      <c r="F31" s="26"/>
      <c r="G31" s="26"/>
      <c r="H31" s="26"/>
      <c r="I31" s="26"/>
      <c r="J31" s="26"/>
      <c r="K31" s="26"/>
      <c r="L31" s="26"/>
      <c r="M31" s="26"/>
      <c r="N31" s="26"/>
      <c r="O31" s="26"/>
      <c r="P31" s="26"/>
    </row>
    <row r="32" spans="2:29" x14ac:dyDescent="0.35">
      <c r="B32" t="s">
        <v>79</v>
      </c>
      <c r="C32" t="s">
        <v>50</v>
      </c>
      <c r="E32" s="28" cm="1">
        <f t="array" ref="E32">_xlfn._xlws.FILTER(road_diesel_blend[Blend_mj_kg],road_diesel_blend[Year]=E$13)</f>
        <v>43.308259200000002</v>
      </c>
      <c r="F32" s="28" cm="1">
        <f t="array" ref="F32">_xlfn._xlws.FILTER(road_diesel_blend[Blend_mj_kg],road_diesel_blend[Year]=F$13)</f>
        <v>43.308259200000002</v>
      </c>
      <c r="G32" s="28" cm="1">
        <f t="array" ref="G32">_xlfn._xlws.FILTER(road_diesel_blend[Blend_mj_kg],road_diesel_blend[Year]=G$13)</f>
        <v>43.308259200000002</v>
      </c>
      <c r="H32" s="28" cm="1">
        <f t="array" ref="H32">_xlfn._xlws.FILTER(road_diesel_blend[Blend_mj_kg],road_diesel_blend[Year]=H$13)</f>
        <v>43.308259200000002</v>
      </c>
      <c r="I32" s="28" cm="1">
        <f t="array" ref="I32">_xlfn._xlws.FILTER(road_diesel_blend[Blend_mj_kg],road_diesel_blend[Year]=I$13)</f>
        <v>43.304914158875086</v>
      </c>
      <c r="J32" s="28" cm="1">
        <f t="array" ref="J32">_xlfn._xlws.FILTER(road_diesel_blend[Blend_mj_kg],road_diesel_blend[Year]=J$13)</f>
        <v>43.302509881659653</v>
      </c>
      <c r="K32" s="28" cm="1">
        <f t="array" ref="K32">_xlfn._xlws.FILTER(road_diesel_blend[Blend_mj_kg],road_diesel_blend[Year]=K$13)</f>
        <v>43.260909164810379</v>
      </c>
      <c r="L32" s="28" cm="1">
        <f t="array" ref="L32">_xlfn._xlws.FILTER(road_diesel_blend[Blend_mj_kg],road_diesel_blend[Year]=L$13)</f>
        <v>43.204412322103458</v>
      </c>
      <c r="M32" s="28" cm="1">
        <f t="array" ref="M32">_xlfn._xlws.FILTER(road_diesel_blend[Blend_mj_kg],road_diesel_blend[Year]=M$13)</f>
        <v>43.144351616529747</v>
      </c>
      <c r="N32" s="28" cm="1">
        <f t="array" ref="N32">_xlfn._xlws.FILTER(road_diesel_blend[Blend_mj_kg],road_diesel_blend[Year]=N$13)</f>
        <v>43.109485677816387</v>
      </c>
      <c r="O32" s="28" cm="1">
        <f t="array" ref="O32">_xlfn._xlws.FILTER(road_diesel_blend[Blend_mj_kg],road_diesel_blend[Year]=O$13)</f>
        <v>43.090954982855528</v>
      </c>
      <c r="P32" s="28" cm="1">
        <f t="array" ref="P32">_xlfn._xlws.FILTER(road_diesel_blend[Blend_mj_kg],road_diesel_blend[Year]=P$13)</f>
        <v>43.128197233487874</v>
      </c>
      <c r="Q32" s="28" cm="1">
        <f t="array" ref="Q32">_xlfn._xlws.FILTER(road_diesel_blend[Blend_mj_kg],road_diesel_blend[Year]=Q$13)</f>
        <v>43.088700627306643</v>
      </c>
      <c r="R32" s="28" cm="1">
        <f t="array" ref="R32">_xlfn._xlws.FILTER(road_diesel_blend[Blend_mj_kg],road_diesel_blend[Year]=R$13)</f>
        <v>43.058104395954146</v>
      </c>
      <c r="S32" s="28" cm="1">
        <f t="array" ref="S32">_xlfn._xlws.FILTER(road_diesel_blend[Blend_mj_kg],road_diesel_blend[Year]=S$13)</f>
        <v>43.05612369656366</v>
      </c>
      <c r="T32" s="28" cm="1">
        <f t="array" ref="T32">_xlfn._xlws.FILTER(road_diesel_blend[Blend_mj_kg],road_diesel_blend[Year]=T$13)</f>
        <v>43.102936240420057</v>
      </c>
      <c r="U32" s="28" cm="1">
        <f t="array" ref="U32">_xlfn._xlws.FILTER(road_diesel_blend[Blend_mj_kg],road_diesel_blend[Year]=U$13)</f>
        <v>43.005060410357522</v>
      </c>
      <c r="V32" s="28" cm="1">
        <f t="array" ref="V32">_xlfn._xlws.FILTER(road_diesel_blend[Blend_mj_kg],road_diesel_blend[Year]=V$13)</f>
        <v>43.025298248972014</v>
      </c>
      <c r="W32" s="28" cm="1">
        <f t="array" ref="W32">_xlfn._xlws.FILTER(road_diesel_blend[Blend_mj_kg],road_diesel_blend[Year]=W$13)</f>
        <v>42.955921422393438</v>
      </c>
      <c r="X32" s="28" cm="1">
        <f t="array" ref="X32">_xlfn._xlws.FILTER(road_diesel_blend[Blend_mj_kg],road_diesel_blend[Year]=X$13)</f>
        <v>42.916574120222556</v>
      </c>
      <c r="Y32" s="28" cm="1">
        <f t="array" ref="Y32">_xlfn._xlws.FILTER(road_diesel_blend[Blend_mj_kg],road_diesel_blend[Year]=Y$13)</f>
        <v>42.947390815357444</v>
      </c>
      <c r="Z32" s="28" cm="1">
        <f t="array" ref="Z32">_xlfn._xlws.FILTER(road_diesel_blend[Blend_mj_kg],road_diesel_blend[Year]=Z$13)</f>
        <v>42.904931646793223</v>
      </c>
      <c r="AA32" s="28" cm="1">
        <f t="array" ref="AA32">_xlfn._xlws.FILTER(road_diesel_blend[Blend_mj_kg],road_diesel_blend[Year]=AA$13)</f>
        <v>42.905147505447026</v>
      </c>
      <c r="AB32" s="28" cm="1">
        <f t="array" ref="AB32">_xlfn._xlws.FILTER(road_diesel_blend[Blend_mj_kg],road_diesel_blend[Year]=AB$13)</f>
        <v>42.937534446449526</v>
      </c>
      <c r="AC32" s="28" cm="1">
        <f t="array" ref="AC32">_xlfn._xlws.FILTER(road_diesel_blend[Blend_mj_kg],road_diesel_blend[Year]=AC$13)</f>
        <v>42.951900532481915</v>
      </c>
    </row>
    <row r="33" spans="2:29" x14ac:dyDescent="0.35">
      <c r="B33" t="s">
        <v>80</v>
      </c>
      <c r="C33" t="s">
        <v>50</v>
      </c>
      <c r="E33" s="28" cm="1">
        <f t="array" ref="E33">_xlfn._xlws.FILTER(road_petrol_blend[Blend_mj_kg],road_petrol_blend[Year]=E$13)</f>
        <v>44.589419999999997</v>
      </c>
      <c r="F33" s="28" cm="1">
        <f t="array" ref="F33">_xlfn._xlws.FILTER(road_petrol_blend[Blend_mj_kg],road_petrol_blend[Year]=F$13)</f>
        <v>44.589419999999997</v>
      </c>
      <c r="G33" s="28" cm="1">
        <f t="array" ref="G33">_xlfn._xlws.FILTER(road_petrol_blend[Blend_mj_kg],road_petrol_blend[Year]=G$13)</f>
        <v>44.589419999999997</v>
      </c>
      <c r="H33" s="28" cm="1">
        <f t="array" ref="H33">_xlfn._xlws.FILTER(road_petrol_blend[Blend_mj_kg],road_petrol_blend[Year]=H$13)</f>
        <v>44.589419999999997</v>
      </c>
      <c r="I33" s="28" cm="1">
        <f t="array" ref="I33">_xlfn._xlws.FILTER(road_petrol_blend[Blend_mj_kg],road_petrol_blend[Year]=I$13)</f>
        <v>44.589281286263294</v>
      </c>
      <c r="J33" s="28" cm="1">
        <f t="array" ref="J33">_xlfn._xlws.FILTER(road_petrol_blend[Blend_mj_kg],road_petrol_blend[Year]=J$13)</f>
        <v>44.578802022486883</v>
      </c>
      <c r="K33" s="28" cm="1">
        <f t="array" ref="K33">_xlfn._xlws.FILTER(road_petrol_blend[Blend_mj_kg],road_petrol_blend[Year]=K$13)</f>
        <v>44.532880687427323</v>
      </c>
      <c r="L33" s="28" cm="1">
        <f t="array" ref="L33">_xlfn._xlws.FILTER(road_petrol_blend[Blend_mj_kg],road_petrol_blend[Year]=L$13)</f>
        <v>44.291451033508032</v>
      </c>
      <c r="M33" s="28" cm="1">
        <f t="array" ref="M33">_xlfn._xlws.FILTER(road_petrol_blend[Blend_mj_kg],road_petrol_blend[Year]=M$13)</f>
        <v>44.174626545305458</v>
      </c>
      <c r="N33" s="28" cm="1">
        <f t="array" ref="N33">_xlfn._xlws.FILTER(road_petrol_blend[Blend_mj_kg],road_petrol_blend[Year]=N$13)</f>
        <v>43.988387108317831</v>
      </c>
      <c r="O33" s="28" cm="1">
        <f t="array" ref="O33">_xlfn._xlws.FILTER(road_petrol_blend[Blend_mj_kg],road_petrol_blend[Year]=O$13)</f>
        <v>43.977941989927615</v>
      </c>
      <c r="P33" s="28" cm="1">
        <f t="array" ref="P33">_xlfn._xlws.FILTER(road_petrol_blend[Blend_mj_kg],road_petrol_blend[Year]=P$13)</f>
        <v>43.929906803273035</v>
      </c>
      <c r="Q33" s="28" cm="1">
        <f t="array" ref="Q33">_xlfn._xlws.FILTER(road_petrol_blend[Blend_mj_kg],road_petrol_blend[Year]=Q$13)</f>
        <v>43.891557175089304</v>
      </c>
      <c r="R33" s="28" cm="1">
        <f t="array" ref="R33">_xlfn._xlws.FILTER(road_petrol_blend[Blend_mj_kg],road_petrol_blend[Year]=R$13)</f>
        <v>43.901839301549408</v>
      </c>
      <c r="S33" s="28" cm="1">
        <f t="array" ref="S33">_xlfn._xlws.FILTER(road_petrol_blend[Blend_mj_kg],road_petrol_blend[Year]=S$13)</f>
        <v>43.781373725049782</v>
      </c>
      <c r="T33" s="28" cm="1">
        <f t="array" ref="T33">_xlfn._xlws.FILTER(road_petrol_blend[Blend_mj_kg],road_petrol_blend[Year]=T$13)</f>
        <v>43.64690578365564</v>
      </c>
      <c r="U33" s="28" cm="1">
        <f t="array" ref="U33">_xlfn._xlws.FILTER(road_petrol_blend[Blend_mj_kg],road_petrol_blend[Year]=U$13)</f>
        <v>43.644881727424433</v>
      </c>
      <c r="V33" s="28" cm="1">
        <f t="array" ref="V33">_xlfn._xlws.FILTER(road_petrol_blend[Blend_mj_kg],road_petrol_blend[Year]=V$13)</f>
        <v>43.635341246545416</v>
      </c>
      <c r="W33" s="28" cm="1">
        <f t="array" ref="W33">_xlfn._xlws.FILTER(road_petrol_blend[Blend_mj_kg],road_petrol_blend[Year]=W$13)</f>
        <v>43.623088018927575</v>
      </c>
      <c r="X33" s="28" cm="1">
        <f t="array" ref="X33">_xlfn._xlws.FILTER(road_petrol_blend[Blend_mj_kg],road_petrol_blend[Year]=X$13)</f>
        <v>43.621380611554549</v>
      </c>
      <c r="Y33" s="28" cm="1">
        <f t="array" ref="Y33">_xlfn._xlws.FILTER(road_petrol_blend[Blend_mj_kg],road_petrol_blend[Year]=Y$13)</f>
        <v>43.633243736329447</v>
      </c>
      <c r="Z33" s="28" cm="1">
        <f t="array" ref="Z33">_xlfn._xlws.FILTER(road_petrol_blend[Blend_mj_kg],road_petrol_blend[Year]=Z$13)</f>
        <v>43.627895887777754</v>
      </c>
      <c r="AA33" s="28" cm="1">
        <f t="array" ref="AA33">_xlfn._xlws.FILTER(road_petrol_blend[Blend_mj_kg],road_petrol_blend[Year]=AA$13)</f>
        <v>43.340205923402266</v>
      </c>
      <c r="AB33" s="28" cm="1">
        <f t="array" ref="AB33">_xlfn._xlws.FILTER(road_petrol_blend[Blend_mj_kg],road_petrol_blend[Year]=AB$13)</f>
        <v>42.840993924038649</v>
      </c>
      <c r="AC33" s="28" cm="1">
        <f t="array" ref="AC33">_xlfn._xlws.FILTER(road_petrol_blend[Blend_mj_kg],road_petrol_blend[Year]=AC$13)</f>
        <v>42.702923431769214</v>
      </c>
    </row>
    <row r="34" spans="2:29" x14ac:dyDescent="0.35">
      <c r="B34" s="7"/>
      <c r="C34" s="7"/>
    </row>
    <row r="35" spans="2:29" x14ac:dyDescent="0.35">
      <c r="B35" s="7"/>
      <c r="C35" s="7"/>
    </row>
    <row r="36" spans="2:29" ht="15" thickBot="1" x14ac:dyDescent="0.4">
      <c r="B36" s="12" t="s">
        <v>81</v>
      </c>
      <c r="C36" s="12" t="s">
        <v>108</v>
      </c>
      <c r="D36" s="12" t="s">
        <v>47</v>
      </c>
      <c r="E36" s="12">
        <v>2001</v>
      </c>
      <c r="F36" s="12">
        <f>E36+1</f>
        <v>2002</v>
      </c>
      <c r="G36" s="12">
        <f t="shared" ref="G36" si="1">F36+1</f>
        <v>2003</v>
      </c>
      <c r="H36" s="12">
        <f t="shared" ref="H36" si="2">G36+1</f>
        <v>2004</v>
      </c>
      <c r="I36" s="12">
        <f t="shared" ref="I36" si="3">H36+1</f>
        <v>2005</v>
      </c>
      <c r="J36" s="12">
        <f t="shared" ref="J36" si="4">I36+1</f>
        <v>2006</v>
      </c>
      <c r="K36" s="12">
        <f t="shared" ref="K36" si="5">J36+1</f>
        <v>2007</v>
      </c>
      <c r="L36" s="12">
        <f t="shared" ref="L36" si="6">K36+1</f>
        <v>2008</v>
      </c>
      <c r="M36" s="12">
        <f t="shared" ref="M36" si="7">L36+1</f>
        <v>2009</v>
      </c>
      <c r="N36" s="12">
        <f t="shared" ref="N36" si="8">M36+1</f>
        <v>2010</v>
      </c>
      <c r="O36" s="12">
        <f t="shared" ref="O36" si="9">N36+1</f>
        <v>2011</v>
      </c>
      <c r="P36" s="12">
        <f t="shared" ref="P36" si="10">O36+1</f>
        <v>2012</v>
      </c>
      <c r="Q36" s="12">
        <f t="shared" ref="Q36" si="11">P36+1</f>
        <v>2013</v>
      </c>
      <c r="R36" s="12">
        <f t="shared" ref="R36" si="12">Q36+1</f>
        <v>2014</v>
      </c>
      <c r="S36" s="12">
        <f t="shared" ref="S36" si="13">R36+1</f>
        <v>2015</v>
      </c>
      <c r="T36" s="12">
        <f t="shared" ref="T36" si="14">S36+1</f>
        <v>2016</v>
      </c>
      <c r="U36" s="12">
        <f t="shared" ref="U36" si="15">T36+1</f>
        <v>2017</v>
      </c>
      <c r="V36" s="12">
        <f t="shared" ref="V36" si="16">U36+1</f>
        <v>2018</v>
      </c>
      <c r="W36" s="12">
        <f t="shared" ref="W36" si="17">V36+1</f>
        <v>2019</v>
      </c>
      <c r="X36" s="12">
        <f t="shared" ref="X36" si="18">W36+1</f>
        <v>2020</v>
      </c>
      <c r="Y36" s="12">
        <f t="shared" ref="Y36" si="19">X36+1</f>
        <v>2021</v>
      </c>
      <c r="Z36" s="12">
        <f t="shared" ref="Z36:AC36" si="20">Y36+1</f>
        <v>2022</v>
      </c>
      <c r="AA36" s="12">
        <f t="shared" si="20"/>
        <v>2023</v>
      </c>
      <c r="AB36" s="12">
        <f t="shared" si="20"/>
        <v>2024</v>
      </c>
      <c r="AC36" s="12">
        <f t="shared" si="20"/>
        <v>2025</v>
      </c>
    </row>
    <row r="37" spans="2:29" x14ac:dyDescent="0.35">
      <c r="B37" s="162" t="s">
        <v>82</v>
      </c>
    </row>
    <row r="38" spans="2:29" x14ac:dyDescent="0.35">
      <c r="B38" t="s">
        <v>83</v>
      </c>
      <c r="C38" t="s">
        <v>50</v>
      </c>
      <c r="E38" s="149">
        <v>32.325750029700004</v>
      </c>
      <c r="F38" s="149">
        <v>32.325750029700004</v>
      </c>
      <c r="G38" s="149">
        <v>32.325750029700004</v>
      </c>
      <c r="H38" s="149">
        <v>32.325750029700004</v>
      </c>
      <c r="I38" s="149">
        <v>32.529000036024001</v>
      </c>
      <c r="J38" s="149">
        <v>32.363000031168006</v>
      </c>
      <c r="K38" s="149">
        <v>32.327000040708</v>
      </c>
      <c r="L38" s="149">
        <v>32.084000052768005</v>
      </c>
      <c r="M38" s="149">
        <v>32.084000052768005</v>
      </c>
      <c r="N38" s="149">
        <v>32.084000052768005</v>
      </c>
      <c r="O38" s="149">
        <v>32.084000052768005</v>
      </c>
      <c r="P38" s="149">
        <v>32.518475286202701</v>
      </c>
      <c r="Q38" s="149">
        <v>32.22377709912071</v>
      </c>
      <c r="R38" s="149">
        <v>32.643603539327202</v>
      </c>
      <c r="S38" s="149">
        <v>31.874271466206388</v>
      </c>
      <c r="T38" s="149">
        <v>31.996362831486852</v>
      </c>
      <c r="U38" s="149">
        <v>31.630963548277549</v>
      </c>
      <c r="V38" s="149">
        <v>31.218005111275897</v>
      </c>
      <c r="W38" s="149">
        <v>31.739161789724548</v>
      </c>
      <c r="X38" s="149">
        <v>31.900760924471921</v>
      </c>
      <c r="Y38" s="149">
        <v>32.159252970228216</v>
      </c>
      <c r="Z38" s="149">
        <v>32.108890504600218</v>
      </c>
      <c r="AA38" s="149">
        <v>32.089874440914329</v>
      </c>
      <c r="AB38" s="149">
        <v>31.56638594169204</v>
      </c>
      <c r="AC38" s="149">
        <v>32.00746571968569</v>
      </c>
    </row>
    <row r="39" spans="2:29" x14ac:dyDescent="0.35">
      <c r="B39" t="s">
        <v>84</v>
      </c>
      <c r="C39" t="s">
        <v>50</v>
      </c>
      <c r="E39" s="33">
        <v>27.842220000000005</v>
      </c>
      <c r="F39" s="33">
        <v>27.842220000000005</v>
      </c>
      <c r="G39" s="33">
        <v>27.842220000000005</v>
      </c>
      <c r="H39" s="33">
        <v>27.842220000000005</v>
      </c>
      <c r="I39" s="33">
        <v>27.842220000000005</v>
      </c>
      <c r="J39" s="33">
        <v>27.842220000000005</v>
      </c>
      <c r="K39" s="33">
        <v>27.842220000000005</v>
      </c>
      <c r="L39" s="33">
        <v>27.842220000000005</v>
      </c>
      <c r="M39" s="33">
        <v>27.842220000000005</v>
      </c>
      <c r="N39" s="33">
        <v>27.842220000000005</v>
      </c>
      <c r="O39" s="33">
        <v>27.842220000000005</v>
      </c>
      <c r="P39" s="33">
        <v>27.842220000000005</v>
      </c>
      <c r="Q39" s="33">
        <v>27.842220000000005</v>
      </c>
      <c r="R39" s="33">
        <v>27.842220000000005</v>
      </c>
      <c r="S39" s="33">
        <v>27.842220000000005</v>
      </c>
      <c r="T39" s="33">
        <v>27.842220000000005</v>
      </c>
      <c r="U39" s="33">
        <v>27.842220000000005</v>
      </c>
      <c r="V39" s="33">
        <v>27.842220000000005</v>
      </c>
      <c r="W39" s="33">
        <v>27.842220000000005</v>
      </c>
      <c r="X39" s="33">
        <v>27.842220000000005</v>
      </c>
      <c r="Y39" s="33">
        <v>27.842220000000005</v>
      </c>
      <c r="Z39" s="33">
        <v>27.842220000000005</v>
      </c>
      <c r="AA39" s="33">
        <v>27.842220000000005</v>
      </c>
      <c r="AB39" s="33">
        <v>27.842220000000005</v>
      </c>
      <c r="AC39" s="33">
        <v>27.842220000000005</v>
      </c>
    </row>
    <row r="40" spans="2:29" x14ac:dyDescent="0.35">
      <c r="B40" t="s">
        <v>85</v>
      </c>
      <c r="C40" t="s">
        <v>50</v>
      </c>
      <c r="E40" s="33">
        <v>27.842220000000005</v>
      </c>
      <c r="F40" s="33">
        <v>27.842220000000005</v>
      </c>
      <c r="G40" s="33">
        <v>27.842220000000005</v>
      </c>
      <c r="H40" s="33">
        <v>27.842220000000005</v>
      </c>
      <c r="I40" s="33">
        <v>27.842220000000005</v>
      </c>
      <c r="J40" s="33">
        <v>27.842220000000005</v>
      </c>
      <c r="K40" s="33">
        <v>27.842220000000005</v>
      </c>
      <c r="L40" s="33">
        <v>27.842220000000005</v>
      </c>
      <c r="M40" s="33">
        <v>27.842220000000005</v>
      </c>
      <c r="N40" s="33">
        <v>27.842220000000005</v>
      </c>
      <c r="O40" s="33">
        <v>27.842220000000005</v>
      </c>
      <c r="P40" s="33">
        <v>27.842220000000005</v>
      </c>
      <c r="Q40" s="33">
        <v>27.842220000000005</v>
      </c>
      <c r="R40" s="33">
        <v>27.842220000000005</v>
      </c>
      <c r="S40" s="33">
        <v>27.842220000000005</v>
      </c>
      <c r="T40" s="33">
        <v>27.842220000000005</v>
      </c>
      <c r="U40" s="33">
        <v>27.842220000000005</v>
      </c>
      <c r="V40" s="33">
        <v>27.842220000000005</v>
      </c>
      <c r="W40" s="33">
        <v>27.842220000000005</v>
      </c>
      <c r="X40" s="33">
        <v>27.842220000000005</v>
      </c>
      <c r="Y40" s="33">
        <v>27.842220000000005</v>
      </c>
      <c r="Z40" s="33">
        <v>27.842220000000005</v>
      </c>
      <c r="AA40" s="33">
        <v>27.842220000000005</v>
      </c>
      <c r="AB40" s="33">
        <v>27.842220000000005</v>
      </c>
      <c r="AC40" s="33">
        <v>27.842220000000005</v>
      </c>
    </row>
    <row r="41" spans="2:29" x14ac:dyDescent="0.35">
      <c r="B41" t="s">
        <v>86</v>
      </c>
      <c r="C41" t="s">
        <v>50</v>
      </c>
      <c r="E41" s="33">
        <v>19.8161913888</v>
      </c>
      <c r="F41" s="33">
        <v>19.8161913888</v>
      </c>
      <c r="G41" s="33">
        <v>19.8161913888</v>
      </c>
      <c r="H41" s="33">
        <v>19.8161913888</v>
      </c>
      <c r="I41" s="33">
        <v>19.8161913888</v>
      </c>
      <c r="J41" s="33">
        <v>19.8161913888</v>
      </c>
      <c r="K41" s="33">
        <v>19.8161913888</v>
      </c>
      <c r="L41" s="33">
        <v>19.8161913888</v>
      </c>
      <c r="M41" s="33">
        <v>19.8161913888</v>
      </c>
      <c r="N41" s="33">
        <v>19.8161913888</v>
      </c>
      <c r="O41" s="33">
        <v>19.8161913888</v>
      </c>
      <c r="P41" s="33">
        <v>19.8161913888</v>
      </c>
      <c r="Q41" s="33">
        <v>19.8161913888</v>
      </c>
      <c r="R41" s="33">
        <v>19.8161913888</v>
      </c>
      <c r="S41" s="33">
        <v>19.8161913888</v>
      </c>
      <c r="T41" s="33">
        <v>19.8161913888</v>
      </c>
      <c r="U41" s="33">
        <v>19.8161913888</v>
      </c>
      <c r="V41" s="33">
        <v>19.8161913888</v>
      </c>
      <c r="W41" s="33">
        <v>19.8161913888</v>
      </c>
      <c r="X41" s="33">
        <v>19.8161913888</v>
      </c>
      <c r="Y41" s="33">
        <v>19.8161913888</v>
      </c>
      <c r="Z41" s="33">
        <v>19.8161913888</v>
      </c>
      <c r="AA41" s="33">
        <v>19.8161913888</v>
      </c>
      <c r="AB41" s="33">
        <v>19.8161913888</v>
      </c>
      <c r="AC41" s="33">
        <v>19.8161913888</v>
      </c>
    </row>
    <row r="42" spans="2:29" x14ac:dyDescent="0.35">
      <c r="B42" t="s">
        <v>87</v>
      </c>
      <c r="C42" t="s">
        <v>50</v>
      </c>
      <c r="D42" t="s">
        <v>136</v>
      </c>
      <c r="E42" s="149">
        <v>7.7874480000000004</v>
      </c>
      <c r="F42" s="149">
        <v>7.7874480000000004</v>
      </c>
      <c r="G42" s="149">
        <v>7.7874480000000004</v>
      </c>
      <c r="H42" s="149">
        <v>7.9681710184031749</v>
      </c>
      <c r="I42" s="149">
        <v>8.2129669361977182</v>
      </c>
      <c r="J42" s="149">
        <v>8.5957991213194642</v>
      </c>
      <c r="K42" s="149">
        <v>8.7883198575868118</v>
      </c>
      <c r="L42" s="149">
        <v>8.0362270712632142</v>
      </c>
      <c r="M42" s="149">
        <v>7.6784595418746999</v>
      </c>
      <c r="N42" s="149">
        <v>7.9360406016797125</v>
      </c>
      <c r="O42" s="149">
        <v>8.0400634554125467</v>
      </c>
      <c r="P42" s="149">
        <v>7.7455352670940103</v>
      </c>
      <c r="Q42" s="149">
        <v>8.0317627332230312</v>
      </c>
      <c r="R42" s="149">
        <v>8.5271534450793762</v>
      </c>
      <c r="S42" s="149">
        <v>8.5601456768356829</v>
      </c>
      <c r="T42" s="149">
        <v>8.3123901820501924</v>
      </c>
      <c r="U42" s="149">
        <v>8.0992842926637891</v>
      </c>
      <c r="V42" s="149">
        <v>8.3195830712241143</v>
      </c>
      <c r="W42" s="149">
        <v>8.4790377816831182</v>
      </c>
      <c r="X42" s="149">
        <v>8.0425808942460044</v>
      </c>
      <c r="Y42" s="149">
        <v>8.1929192331552727</v>
      </c>
      <c r="Z42" s="149">
        <v>6.3812091214966999</v>
      </c>
      <c r="AA42" s="149">
        <v>5.426782152947812</v>
      </c>
      <c r="AB42" s="184">
        <v>5.426782152947812</v>
      </c>
      <c r="AC42" s="184">
        <v>5.426782152947812</v>
      </c>
    </row>
    <row r="43" spans="2:29" x14ac:dyDescent="0.35">
      <c r="B43" t="s">
        <v>88</v>
      </c>
      <c r="C43" t="s">
        <v>50</v>
      </c>
      <c r="E43" s="33">
        <v>13.104684000000001</v>
      </c>
      <c r="F43" s="33">
        <v>13.104684000000001</v>
      </c>
      <c r="G43" s="33">
        <v>13.104684000000001</v>
      </c>
      <c r="H43" s="33">
        <v>13.104684000000001</v>
      </c>
      <c r="I43" s="33">
        <v>13.104684000000001</v>
      </c>
      <c r="J43" s="33">
        <v>13.104684000000001</v>
      </c>
      <c r="K43" s="33">
        <v>13.104684000000001</v>
      </c>
      <c r="L43" s="33">
        <v>13.104684000000001</v>
      </c>
      <c r="M43" s="33">
        <v>13.104684000000001</v>
      </c>
      <c r="N43" s="33">
        <v>13.104684000000001</v>
      </c>
      <c r="O43" s="33">
        <v>13.104684000000001</v>
      </c>
      <c r="P43" s="33">
        <v>13.104684000000001</v>
      </c>
      <c r="Q43" s="33">
        <v>13.104684000000001</v>
      </c>
      <c r="R43" s="33">
        <v>13.104684000000001</v>
      </c>
      <c r="S43" s="33">
        <v>13.104684000000001</v>
      </c>
      <c r="T43" s="33">
        <v>13.104684000000001</v>
      </c>
      <c r="U43" s="33">
        <v>13.104684000000001</v>
      </c>
      <c r="V43" s="33">
        <v>13.104684000000001</v>
      </c>
      <c r="W43" s="33">
        <v>13.104684000000001</v>
      </c>
      <c r="X43" s="33">
        <v>13.104684000000001</v>
      </c>
      <c r="Y43" s="33">
        <v>13.104684000000001</v>
      </c>
      <c r="Z43" s="33">
        <v>13.104684000000001</v>
      </c>
      <c r="AA43" s="33">
        <v>13.104684000000001</v>
      </c>
      <c r="AB43" s="33">
        <v>13.104684000000001</v>
      </c>
      <c r="AC43" s="33">
        <v>13.104684000000001</v>
      </c>
    </row>
    <row r="44" spans="2:29" x14ac:dyDescent="0.35">
      <c r="B44" t="s">
        <v>89</v>
      </c>
      <c r="C44" t="s">
        <v>50</v>
      </c>
      <c r="E44" s="33">
        <v>18.547524000000003</v>
      </c>
      <c r="F44" s="33">
        <v>18.547524000000003</v>
      </c>
      <c r="G44" s="33">
        <v>18.547524000000003</v>
      </c>
      <c r="H44" s="33">
        <v>18.547524000000003</v>
      </c>
      <c r="I44" s="33">
        <v>18.547524000000003</v>
      </c>
      <c r="J44" s="33">
        <v>18.547524000000003</v>
      </c>
      <c r="K44" s="33">
        <v>18.547524000000003</v>
      </c>
      <c r="L44" s="33">
        <v>18.547524000000003</v>
      </c>
      <c r="M44" s="33">
        <v>18.547524000000003</v>
      </c>
      <c r="N44" s="33">
        <v>18.547524000000003</v>
      </c>
      <c r="O44" s="33">
        <v>18.547524000000003</v>
      </c>
      <c r="P44" s="33">
        <v>18.547524000000003</v>
      </c>
      <c r="Q44" s="33">
        <v>18.547524000000003</v>
      </c>
      <c r="R44" s="33">
        <v>18.547524000000003</v>
      </c>
      <c r="S44" s="33">
        <v>18.547524000000003</v>
      </c>
      <c r="T44" s="33">
        <v>18.547524000000003</v>
      </c>
      <c r="U44" s="33">
        <v>18.547524000000003</v>
      </c>
      <c r="V44" s="33">
        <v>18.547524000000003</v>
      </c>
      <c r="W44" s="33">
        <v>18.547524000000003</v>
      </c>
      <c r="X44" s="33">
        <v>18.547524000000003</v>
      </c>
      <c r="Y44" s="33">
        <v>18.547524000000003</v>
      </c>
      <c r="Z44" s="33">
        <v>18.547524000000003</v>
      </c>
      <c r="AA44" s="33">
        <v>18.547524000000003</v>
      </c>
      <c r="AB44" s="33">
        <v>18.547524000000003</v>
      </c>
      <c r="AC44" s="33">
        <v>18.547524000000003</v>
      </c>
    </row>
    <row r="46" spans="2:29" x14ac:dyDescent="0.35">
      <c r="B46" s="162" t="s">
        <v>90</v>
      </c>
    </row>
    <row r="47" spans="2:29" x14ac:dyDescent="0.35">
      <c r="B47" t="s">
        <v>91</v>
      </c>
      <c r="C47" t="s">
        <v>50</v>
      </c>
      <c r="E47" s="33">
        <v>17.28</v>
      </c>
      <c r="F47" s="33">
        <v>17.28</v>
      </c>
      <c r="G47" s="33">
        <v>17.28</v>
      </c>
      <c r="H47" s="33">
        <v>17.28</v>
      </c>
      <c r="I47" s="33">
        <v>17.28</v>
      </c>
      <c r="J47" s="33">
        <v>17.28</v>
      </c>
      <c r="K47" s="33">
        <v>17.28</v>
      </c>
      <c r="L47" s="33">
        <v>17.28</v>
      </c>
      <c r="M47" s="33">
        <v>17.28</v>
      </c>
      <c r="N47" s="33">
        <v>17.28</v>
      </c>
      <c r="O47" s="33">
        <v>17.28</v>
      </c>
      <c r="P47" s="33">
        <v>17.28</v>
      </c>
      <c r="Q47" s="33">
        <v>17.28</v>
      </c>
      <c r="R47" s="33">
        <v>17.28</v>
      </c>
      <c r="S47" s="33">
        <v>17.28</v>
      </c>
      <c r="T47" s="33">
        <v>17.28</v>
      </c>
      <c r="U47" s="33">
        <v>17.28</v>
      </c>
      <c r="V47" s="33">
        <v>17.28</v>
      </c>
      <c r="W47" s="33">
        <v>17.28</v>
      </c>
      <c r="X47" s="33">
        <v>17.28</v>
      </c>
      <c r="Y47" s="33">
        <v>17.28</v>
      </c>
      <c r="Z47" s="33">
        <v>17.28</v>
      </c>
      <c r="AA47" s="33">
        <v>17.28</v>
      </c>
      <c r="AB47" s="33">
        <v>17.28</v>
      </c>
      <c r="AC47" s="33">
        <v>17.28</v>
      </c>
    </row>
    <row r="48" spans="2:29" x14ac:dyDescent="0.35">
      <c r="B48" t="s">
        <v>92</v>
      </c>
      <c r="C48" t="s">
        <v>50</v>
      </c>
      <c r="D48" t="s">
        <v>93</v>
      </c>
      <c r="E48" s="33">
        <v>13.11</v>
      </c>
      <c r="F48" s="33">
        <v>13.11</v>
      </c>
      <c r="G48" s="33">
        <v>13.11</v>
      </c>
      <c r="H48" s="33">
        <v>13.11</v>
      </c>
      <c r="I48" s="33">
        <v>13.11</v>
      </c>
      <c r="J48" s="33">
        <v>13.11</v>
      </c>
      <c r="K48" s="33">
        <v>13.11</v>
      </c>
      <c r="L48" s="33">
        <v>13.11</v>
      </c>
      <c r="M48" s="33">
        <v>13.11</v>
      </c>
      <c r="N48" s="33">
        <v>13.11</v>
      </c>
      <c r="O48" s="33">
        <v>13.11</v>
      </c>
      <c r="P48" s="33">
        <v>13.11</v>
      </c>
      <c r="Q48" s="33">
        <v>13.11</v>
      </c>
      <c r="R48" s="33">
        <v>13.11</v>
      </c>
      <c r="S48" s="33">
        <v>13.11</v>
      </c>
      <c r="T48" s="33">
        <v>13.11</v>
      </c>
      <c r="U48" s="33">
        <v>13.11</v>
      </c>
      <c r="V48" s="33">
        <v>13.11</v>
      </c>
      <c r="W48" s="33">
        <v>13.11</v>
      </c>
      <c r="X48" s="33">
        <v>13.11</v>
      </c>
      <c r="Y48" s="33">
        <v>13.11</v>
      </c>
      <c r="Z48" s="33">
        <v>13.11</v>
      </c>
      <c r="AA48" s="33">
        <v>13.11</v>
      </c>
      <c r="AB48" s="33">
        <v>13.11</v>
      </c>
      <c r="AC48" s="33">
        <v>13.11</v>
      </c>
    </row>
    <row r="51" spans="2:29" ht="15" thickBot="1" x14ac:dyDescent="0.4">
      <c r="B51" s="12" t="s">
        <v>94</v>
      </c>
      <c r="C51" s="12" t="s">
        <v>108</v>
      </c>
      <c r="D51" s="12" t="s">
        <v>47</v>
      </c>
      <c r="E51" s="12">
        <v>2001</v>
      </c>
      <c r="F51" s="12">
        <f>E51+1</f>
        <v>2002</v>
      </c>
      <c r="G51" s="12">
        <f t="shared" ref="G51" si="21">F51+1</f>
        <v>2003</v>
      </c>
      <c r="H51" s="12">
        <f t="shared" ref="H51" si="22">G51+1</f>
        <v>2004</v>
      </c>
      <c r="I51" s="12">
        <f t="shared" ref="I51" si="23">H51+1</f>
        <v>2005</v>
      </c>
      <c r="J51" s="12">
        <f t="shared" ref="J51" si="24">I51+1</f>
        <v>2006</v>
      </c>
      <c r="K51" s="12">
        <f t="shared" ref="K51" si="25">J51+1</f>
        <v>2007</v>
      </c>
      <c r="L51" s="12">
        <f t="shared" ref="L51" si="26">K51+1</f>
        <v>2008</v>
      </c>
      <c r="M51" s="12">
        <f t="shared" ref="M51" si="27">L51+1</f>
        <v>2009</v>
      </c>
      <c r="N51" s="12">
        <f t="shared" ref="N51" si="28">M51+1</f>
        <v>2010</v>
      </c>
      <c r="O51" s="12">
        <f t="shared" ref="O51" si="29">N51+1</f>
        <v>2011</v>
      </c>
      <c r="P51" s="12">
        <f t="shared" ref="P51" si="30">O51+1</f>
        <v>2012</v>
      </c>
      <c r="Q51" s="12">
        <f t="shared" ref="Q51" si="31">P51+1</f>
        <v>2013</v>
      </c>
      <c r="R51" s="12">
        <f t="shared" ref="R51" si="32">Q51+1</f>
        <v>2014</v>
      </c>
      <c r="S51" s="12">
        <f t="shared" ref="S51" si="33">R51+1</f>
        <v>2015</v>
      </c>
      <c r="T51" s="12">
        <f t="shared" ref="T51" si="34">S51+1</f>
        <v>2016</v>
      </c>
      <c r="U51" s="12">
        <f t="shared" ref="U51" si="35">T51+1</f>
        <v>2017</v>
      </c>
      <c r="V51" s="12">
        <f t="shared" ref="V51" si="36">U51+1</f>
        <v>2018</v>
      </c>
      <c r="W51" s="12">
        <f t="shared" ref="W51" si="37">V51+1</f>
        <v>2019</v>
      </c>
      <c r="X51" s="12">
        <f t="shared" ref="X51" si="38">W51+1</f>
        <v>2020</v>
      </c>
      <c r="Y51" s="12">
        <f t="shared" ref="Y51" si="39">X51+1</f>
        <v>2021</v>
      </c>
      <c r="Z51" s="12">
        <f t="shared" ref="Z51:AC51" si="40">Y51+1</f>
        <v>2022</v>
      </c>
      <c r="AA51" s="12">
        <f t="shared" si="40"/>
        <v>2023</v>
      </c>
      <c r="AB51" s="12">
        <f t="shared" si="40"/>
        <v>2024</v>
      </c>
      <c r="AC51" s="12">
        <f t="shared" si="40"/>
        <v>2025</v>
      </c>
    </row>
    <row r="52" spans="2:29" x14ac:dyDescent="0.35">
      <c r="B52" t="s">
        <v>97</v>
      </c>
      <c r="C52" t="s">
        <v>95</v>
      </c>
      <c r="E52" s="149">
        <v>39.703977137413673</v>
      </c>
      <c r="F52" s="149">
        <v>39.705568445475635</v>
      </c>
      <c r="G52" s="149">
        <v>39.709511568123396</v>
      </c>
      <c r="H52" s="149">
        <v>39.451999999999998</v>
      </c>
      <c r="I52" s="149">
        <v>39.665999999999997</v>
      </c>
      <c r="J52" s="149">
        <v>37.469000000000001</v>
      </c>
      <c r="K52" s="149">
        <v>37.469000000000001</v>
      </c>
      <c r="L52" s="149">
        <v>37.469000000000001</v>
      </c>
      <c r="M52" s="149">
        <v>39.698999999999998</v>
      </c>
      <c r="N52" s="149">
        <v>39.755749944481742</v>
      </c>
      <c r="O52" s="149">
        <v>39.636467669407224</v>
      </c>
      <c r="P52" s="149">
        <v>39.426975486673065</v>
      </c>
      <c r="Q52" s="149">
        <v>39.394392909901782</v>
      </c>
      <c r="R52" s="149">
        <v>39.201124889016654</v>
      </c>
      <c r="S52" s="149">
        <v>39.726218843225247</v>
      </c>
      <c r="T52" s="149">
        <v>38.376172321601899</v>
      </c>
      <c r="U52" s="149">
        <v>38.281007861450234</v>
      </c>
      <c r="V52" s="149">
        <v>38.292575872596487</v>
      </c>
      <c r="W52" s="149">
        <v>38.588391726760875</v>
      </c>
      <c r="X52" s="149">
        <v>38.668584152843785</v>
      </c>
      <c r="Y52" s="149">
        <v>38.990299784654674</v>
      </c>
      <c r="Z52" s="149">
        <v>39.277772586172048</v>
      </c>
      <c r="AA52" s="149">
        <v>39.548667614696434</v>
      </c>
      <c r="AB52" s="149">
        <v>39.025919374014187</v>
      </c>
      <c r="AC52" s="149">
        <v>39.333376609792239</v>
      </c>
    </row>
    <row r="53" spans="2:29" x14ac:dyDescent="0.35">
      <c r="B53" t="s">
        <v>98</v>
      </c>
      <c r="C53" t="s">
        <v>95</v>
      </c>
      <c r="E53" s="149">
        <f>E52*0.902</f>
        <v>35.812987377947131</v>
      </c>
      <c r="F53" s="149">
        <f t="shared" ref="F53:Z53" si="41">F52*0.902</f>
        <v>35.814422737819022</v>
      </c>
      <c r="G53" s="149">
        <f t="shared" si="41"/>
        <v>35.817979434447302</v>
      </c>
      <c r="H53" s="149">
        <f t="shared" si="41"/>
        <v>35.585704</v>
      </c>
      <c r="I53" s="149">
        <f t="shared" si="41"/>
        <v>35.778731999999998</v>
      </c>
      <c r="J53" s="149">
        <f t="shared" si="41"/>
        <v>33.797038000000001</v>
      </c>
      <c r="K53" s="149">
        <f t="shared" si="41"/>
        <v>33.797038000000001</v>
      </c>
      <c r="L53" s="149">
        <f t="shared" si="41"/>
        <v>33.797038000000001</v>
      </c>
      <c r="M53" s="149">
        <f t="shared" si="41"/>
        <v>35.808498</v>
      </c>
      <c r="N53" s="149">
        <f t="shared" si="41"/>
        <v>35.859686449922535</v>
      </c>
      <c r="O53" s="149">
        <f t="shared" si="41"/>
        <v>35.752093837805319</v>
      </c>
      <c r="P53" s="149">
        <f t="shared" si="41"/>
        <v>35.563131888979107</v>
      </c>
      <c r="Q53" s="149">
        <f t="shared" si="41"/>
        <v>35.533742404731406</v>
      </c>
      <c r="R53" s="149">
        <f t="shared" si="41"/>
        <v>35.359414649893026</v>
      </c>
      <c r="S53" s="149">
        <f t="shared" si="41"/>
        <v>35.833049396589175</v>
      </c>
      <c r="T53" s="149">
        <f t="shared" si="41"/>
        <v>34.615307434084912</v>
      </c>
      <c r="U53" s="149">
        <f t="shared" si="41"/>
        <v>34.529469091028112</v>
      </c>
      <c r="V53" s="149">
        <f t="shared" si="41"/>
        <v>34.539903437082032</v>
      </c>
      <c r="W53" s="149">
        <f t="shared" si="41"/>
        <v>34.806729337538307</v>
      </c>
      <c r="X53" s="149">
        <f t="shared" si="41"/>
        <v>34.879062905865098</v>
      </c>
      <c r="Y53" s="149">
        <f t="shared" si="41"/>
        <v>35.169250405758518</v>
      </c>
      <c r="Z53" s="149">
        <f t="shared" si="41"/>
        <v>35.428550872727186</v>
      </c>
      <c r="AA53" s="149">
        <f t="shared" ref="AA53:AB53" si="42">AA52*0.902</f>
        <v>35.672898188456188</v>
      </c>
      <c r="AB53" s="149">
        <f t="shared" si="42"/>
        <v>35.2013792753608</v>
      </c>
      <c r="AC53" s="149">
        <f t="shared" ref="AC53" si="43">AC52*0.902</f>
        <v>35.478705702032599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169F-1328-4FF4-9D18-81BAA029674F}">
  <dimension ref="B2:AC67"/>
  <sheetViews>
    <sheetView zoomScale="85" zoomScaleNormal="85" workbookViewId="0"/>
  </sheetViews>
  <sheetFormatPr defaultColWidth="9.1796875" defaultRowHeight="14.5" x14ac:dyDescent="0.35"/>
  <cols>
    <col min="2" max="2" width="30.453125" bestFit="1" customWidth="1"/>
    <col min="3" max="3" width="9.81640625" bestFit="1" customWidth="1"/>
    <col min="4" max="4" width="72.54296875" bestFit="1" customWidth="1"/>
    <col min="5" max="5" width="10.81640625" bestFit="1" customWidth="1"/>
    <col min="6" max="27" width="10.81640625" customWidth="1"/>
  </cols>
  <sheetData>
    <row r="2" spans="2:29" ht="17.5" thickBot="1" x14ac:dyDescent="0.45">
      <c r="B2" s="10" t="s">
        <v>111</v>
      </c>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2:29" ht="15" thickTop="1" x14ac:dyDescent="0.35">
      <c r="B3" s="11" t="s">
        <v>29</v>
      </c>
      <c r="C3" s="11"/>
      <c r="D3" s="11"/>
      <c r="E3" s="11"/>
      <c r="F3" s="11"/>
      <c r="G3" s="11"/>
      <c r="H3" s="11"/>
      <c r="I3" s="11"/>
      <c r="J3" s="11"/>
      <c r="K3" s="11"/>
      <c r="L3" s="11"/>
      <c r="M3" s="11"/>
      <c r="N3" s="11"/>
      <c r="O3" s="11"/>
      <c r="P3" s="11"/>
      <c r="Q3" s="11"/>
      <c r="R3" s="11"/>
      <c r="S3" s="11"/>
      <c r="T3" s="11"/>
      <c r="U3" s="11"/>
      <c r="V3" s="11"/>
      <c r="W3" s="11"/>
      <c r="X3" s="11"/>
      <c r="Y3" s="11"/>
      <c r="Z3" s="11"/>
      <c r="AA3" s="11"/>
      <c r="AB3" s="11"/>
      <c r="AC3" s="11"/>
    </row>
    <row r="5" spans="2:29" ht="15" thickBot="1" x14ac:dyDescent="0.4">
      <c r="B5" s="12" t="s">
        <v>30</v>
      </c>
    </row>
    <row r="6" spans="2:29" x14ac:dyDescent="0.35">
      <c r="B6" s="99" t="s">
        <v>112</v>
      </c>
    </row>
    <row r="7" spans="2:29" x14ac:dyDescent="0.35">
      <c r="B7" s="99" t="s">
        <v>113</v>
      </c>
    </row>
    <row r="8" spans="2:29" x14ac:dyDescent="0.35">
      <c r="B8" s="99" t="s">
        <v>114</v>
      </c>
    </row>
    <row r="9" spans="2:29" x14ac:dyDescent="0.35">
      <c r="B9" s="102" t="s">
        <v>115</v>
      </c>
    </row>
    <row r="10" spans="2:29" x14ac:dyDescent="0.35">
      <c r="B10" s="99" t="s">
        <v>116</v>
      </c>
    </row>
    <row r="11" spans="2:29" x14ac:dyDescent="0.35">
      <c r="B11" s="99" t="s">
        <v>35</v>
      </c>
    </row>
    <row r="12" spans="2:29" x14ac:dyDescent="0.35">
      <c r="B12" s="99" t="s">
        <v>36</v>
      </c>
    </row>
    <row r="13" spans="2:29" x14ac:dyDescent="0.35">
      <c r="B13" s="99" t="s">
        <v>117</v>
      </c>
    </row>
    <row r="14" spans="2:29" x14ac:dyDescent="0.35">
      <c r="B14" s="99"/>
    </row>
    <row r="15" spans="2:29" x14ac:dyDescent="0.35">
      <c r="B15" s="155" t="s">
        <v>99</v>
      </c>
    </row>
    <row r="16" spans="2:29" x14ac:dyDescent="0.35">
      <c r="B16" s="99" t="s">
        <v>118</v>
      </c>
    </row>
    <row r="17" spans="2:29" x14ac:dyDescent="0.35">
      <c r="B17" s="99" t="s">
        <v>119</v>
      </c>
    </row>
    <row r="18" spans="2:29" x14ac:dyDescent="0.35">
      <c r="B18" s="99" t="s">
        <v>120</v>
      </c>
    </row>
    <row r="19" spans="2:29" x14ac:dyDescent="0.35">
      <c r="B19" s="99" t="s">
        <v>121</v>
      </c>
    </row>
    <row r="21" spans="2:29" ht="15" thickBot="1" x14ac:dyDescent="0.4">
      <c r="B21" s="12" t="s">
        <v>41</v>
      </c>
      <c r="C21" s="12" t="s">
        <v>108</v>
      </c>
      <c r="D21" s="12" t="s">
        <v>47</v>
      </c>
      <c r="E21" s="12">
        <v>2001</v>
      </c>
      <c r="F21" s="12">
        <f>E21+1</f>
        <v>2002</v>
      </c>
      <c r="G21" s="12">
        <f t="shared" ref="G21:AC21" si="0">F21+1</f>
        <v>2003</v>
      </c>
      <c r="H21" s="12">
        <f t="shared" si="0"/>
        <v>2004</v>
      </c>
      <c r="I21" s="12">
        <f t="shared" si="0"/>
        <v>2005</v>
      </c>
      <c r="J21" s="12">
        <f t="shared" si="0"/>
        <v>2006</v>
      </c>
      <c r="K21" s="12">
        <f t="shared" si="0"/>
        <v>2007</v>
      </c>
      <c r="L21" s="12">
        <f t="shared" si="0"/>
        <v>2008</v>
      </c>
      <c r="M21" s="12">
        <f t="shared" si="0"/>
        <v>2009</v>
      </c>
      <c r="N21" s="12">
        <f t="shared" si="0"/>
        <v>2010</v>
      </c>
      <c r="O21" s="12">
        <f t="shared" si="0"/>
        <v>2011</v>
      </c>
      <c r="P21" s="12">
        <f t="shared" si="0"/>
        <v>2012</v>
      </c>
      <c r="Q21" s="12">
        <f t="shared" si="0"/>
        <v>2013</v>
      </c>
      <c r="R21" s="12">
        <f t="shared" si="0"/>
        <v>2014</v>
      </c>
      <c r="S21" s="12">
        <f t="shared" si="0"/>
        <v>2015</v>
      </c>
      <c r="T21" s="12">
        <f t="shared" si="0"/>
        <v>2016</v>
      </c>
      <c r="U21" s="12">
        <f t="shared" si="0"/>
        <v>2017</v>
      </c>
      <c r="V21" s="12">
        <f t="shared" si="0"/>
        <v>2018</v>
      </c>
      <c r="W21" s="12">
        <f t="shared" si="0"/>
        <v>2019</v>
      </c>
      <c r="X21" s="12">
        <f t="shared" si="0"/>
        <v>2020</v>
      </c>
      <c r="Y21" s="12">
        <f t="shared" si="0"/>
        <v>2021</v>
      </c>
      <c r="Z21" s="12">
        <f t="shared" si="0"/>
        <v>2022</v>
      </c>
      <c r="AA21" s="12">
        <f t="shared" si="0"/>
        <v>2023</v>
      </c>
      <c r="AB21" s="12">
        <f t="shared" si="0"/>
        <v>2024</v>
      </c>
      <c r="AC21" s="12">
        <f t="shared" si="0"/>
        <v>2025</v>
      </c>
    </row>
    <row r="22" spans="2:29" x14ac:dyDescent="0.35">
      <c r="B22" s="42" t="s">
        <v>59</v>
      </c>
    </row>
    <row r="23" spans="2:29" x14ac:dyDescent="0.35">
      <c r="B23" s="7" t="s">
        <v>60</v>
      </c>
      <c r="C23" s="7" t="s">
        <v>52</v>
      </c>
      <c r="D23" s="7"/>
      <c r="E23" s="33">
        <v>264</v>
      </c>
      <c r="F23" s="33">
        <v>264</v>
      </c>
      <c r="G23" s="33">
        <v>264</v>
      </c>
      <c r="H23" s="33">
        <v>264</v>
      </c>
      <c r="I23" s="33">
        <v>264</v>
      </c>
      <c r="J23" s="33">
        <v>264</v>
      </c>
      <c r="K23" s="33">
        <v>264</v>
      </c>
      <c r="L23" s="33">
        <v>264</v>
      </c>
      <c r="M23" s="33">
        <v>264</v>
      </c>
      <c r="N23" s="33">
        <v>264</v>
      </c>
      <c r="O23" s="33">
        <v>264</v>
      </c>
      <c r="P23" s="33">
        <v>264</v>
      </c>
      <c r="Q23" s="33">
        <v>264</v>
      </c>
      <c r="R23" s="33">
        <v>264</v>
      </c>
      <c r="S23" s="33">
        <v>264</v>
      </c>
      <c r="T23" s="33">
        <v>264</v>
      </c>
      <c r="U23" s="33">
        <v>264</v>
      </c>
      <c r="V23" s="33">
        <v>264</v>
      </c>
      <c r="W23" s="33">
        <v>264</v>
      </c>
      <c r="X23" s="33">
        <v>264</v>
      </c>
      <c r="Y23" s="33">
        <v>264</v>
      </c>
      <c r="Z23" s="33">
        <v>264</v>
      </c>
      <c r="AA23" s="33">
        <v>264</v>
      </c>
      <c r="AB23" s="33">
        <v>264</v>
      </c>
      <c r="AC23" s="33">
        <v>264</v>
      </c>
    </row>
    <row r="24" spans="2:29" x14ac:dyDescent="0.35">
      <c r="B24" s="7" t="s">
        <v>61</v>
      </c>
      <c r="C24" s="7" t="s">
        <v>52</v>
      </c>
      <c r="D24" s="7"/>
      <c r="E24" s="33">
        <v>251.85599999999999</v>
      </c>
      <c r="F24" s="33">
        <v>251.85599999999999</v>
      </c>
      <c r="G24" s="33">
        <v>251.85599999999999</v>
      </c>
      <c r="H24" s="33">
        <v>251.85599999999999</v>
      </c>
      <c r="I24" s="33">
        <v>251.85599999999999</v>
      </c>
      <c r="J24" s="33">
        <v>251.85599999999999</v>
      </c>
      <c r="K24" s="33">
        <v>251.85599999999999</v>
      </c>
      <c r="L24" s="33">
        <v>251.85599999999999</v>
      </c>
      <c r="M24" s="33">
        <v>251.85599999999999</v>
      </c>
      <c r="N24" s="33">
        <v>251.85599999999999</v>
      </c>
      <c r="O24" s="33">
        <v>251.85599999999999</v>
      </c>
      <c r="P24" s="33">
        <v>251.85599999999999</v>
      </c>
      <c r="Q24" s="33">
        <v>251.85599999999999</v>
      </c>
      <c r="R24" s="33">
        <v>251.85599999999999</v>
      </c>
      <c r="S24" s="33">
        <v>251.85599999999999</v>
      </c>
      <c r="T24" s="33">
        <v>251.85599999999999</v>
      </c>
      <c r="U24" s="33">
        <v>251.85599999999999</v>
      </c>
      <c r="V24" s="33">
        <v>251.85599999999999</v>
      </c>
      <c r="W24" s="33">
        <v>251.85599999999999</v>
      </c>
      <c r="X24" s="33">
        <v>251.85599999999999</v>
      </c>
      <c r="Y24" s="33">
        <v>251.85599999999999</v>
      </c>
      <c r="Z24" s="33">
        <v>251.85599999999999</v>
      </c>
      <c r="AA24" s="33">
        <v>251.85599999999999</v>
      </c>
      <c r="AB24" s="33">
        <v>251.85599999999999</v>
      </c>
      <c r="AC24" s="33">
        <v>251.85599999999999</v>
      </c>
    </row>
    <row r="25" spans="2:29" x14ac:dyDescent="0.35">
      <c r="B25" s="7" t="s">
        <v>62</v>
      </c>
      <c r="C25" s="7" t="s">
        <v>52</v>
      </c>
      <c r="D25" s="7"/>
      <c r="E25" s="33">
        <v>257.00399999999996</v>
      </c>
      <c r="F25" s="33">
        <v>257.00399999999996</v>
      </c>
      <c r="G25" s="33">
        <v>257.00399999999996</v>
      </c>
      <c r="H25" s="33">
        <v>257.00399999999996</v>
      </c>
      <c r="I25" s="33">
        <v>257.00399999999996</v>
      </c>
      <c r="J25" s="33">
        <v>257.00399999999996</v>
      </c>
      <c r="K25" s="33">
        <v>257.00399999999996</v>
      </c>
      <c r="L25" s="33">
        <v>257.00399999999996</v>
      </c>
      <c r="M25" s="33">
        <v>257.00399999999996</v>
      </c>
      <c r="N25" s="33">
        <v>257.00399999999996</v>
      </c>
      <c r="O25" s="33">
        <v>257.00399999999996</v>
      </c>
      <c r="P25" s="33">
        <v>257.00399999999996</v>
      </c>
      <c r="Q25" s="33">
        <v>257.00399999999996</v>
      </c>
      <c r="R25" s="33">
        <v>257.00399999999996</v>
      </c>
      <c r="S25" s="33">
        <v>257.00399999999996</v>
      </c>
      <c r="T25" s="33">
        <v>257.00399999999996</v>
      </c>
      <c r="U25" s="33">
        <v>257.00399999999996</v>
      </c>
      <c r="V25" s="33">
        <v>257.00399999999996</v>
      </c>
      <c r="W25" s="33">
        <v>257.00399999999996</v>
      </c>
      <c r="X25" s="33">
        <v>257.00399999999996</v>
      </c>
      <c r="Y25" s="33">
        <v>257.00399999999996</v>
      </c>
      <c r="Z25" s="33">
        <v>257.00399999999996</v>
      </c>
      <c r="AA25" s="33">
        <v>257.00399999999996</v>
      </c>
      <c r="AB25" s="33">
        <v>257.00399999999996</v>
      </c>
      <c r="AC25" s="33">
        <v>257.00399999999996</v>
      </c>
    </row>
    <row r="26" spans="2:29" x14ac:dyDescent="0.35">
      <c r="B26" t="s">
        <v>63</v>
      </c>
      <c r="C26" s="7" t="s">
        <v>52</v>
      </c>
      <c r="D26" s="7"/>
      <c r="E26" s="33">
        <v>257.00399999999996</v>
      </c>
      <c r="F26" s="33">
        <v>257.00399999999996</v>
      </c>
      <c r="G26" s="33">
        <v>257.00399999999996</v>
      </c>
      <c r="H26" s="33">
        <v>257.00399999999996</v>
      </c>
      <c r="I26" s="33">
        <v>257.00399999999996</v>
      </c>
      <c r="J26" s="33">
        <v>257.00399999999996</v>
      </c>
      <c r="K26" s="33">
        <v>257.00399999999996</v>
      </c>
      <c r="L26" s="33">
        <v>257.00399999999996</v>
      </c>
      <c r="M26" s="33">
        <v>257.00399999999996</v>
      </c>
      <c r="N26" s="33">
        <v>257.00399999999996</v>
      </c>
      <c r="O26" s="33">
        <v>257.00399999999996</v>
      </c>
      <c r="P26" s="33">
        <v>257.00399999999996</v>
      </c>
      <c r="Q26" s="33">
        <v>257.00399999999996</v>
      </c>
      <c r="R26" s="33">
        <v>257.00399999999996</v>
      </c>
      <c r="S26" s="33">
        <v>257.00399999999996</v>
      </c>
      <c r="T26" s="33">
        <v>257.00399999999996</v>
      </c>
      <c r="U26" s="33">
        <v>257.00399999999996</v>
      </c>
      <c r="V26" s="33">
        <v>257.00399999999996</v>
      </c>
      <c r="W26" s="33">
        <v>257.00399999999996</v>
      </c>
      <c r="X26" s="33">
        <v>257.00399999999996</v>
      </c>
      <c r="Y26" s="33">
        <v>257.00399999999996</v>
      </c>
      <c r="Z26" s="33">
        <v>257.00399999999996</v>
      </c>
      <c r="AA26" s="33">
        <v>257.00399999999996</v>
      </c>
      <c r="AB26" s="33">
        <v>257.00399999999996</v>
      </c>
      <c r="AC26" s="33">
        <v>257.00399999999996</v>
      </c>
    </row>
    <row r="27" spans="2:29" x14ac:dyDescent="0.35">
      <c r="B27" s="7" t="s">
        <v>64</v>
      </c>
      <c r="C27" s="7" t="s">
        <v>52</v>
      </c>
      <c r="D27" s="7"/>
      <c r="E27" s="33">
        <v>263.86799999999999</v>
      </c>
      <c r="F27" s="33">
        <v>263.86799999999999</v>
      </c>
      <c r="G27" s="33">
        <v>263.86799999999999</v>
      </c>
      <c r="H27" s="33">
        <v>263.86799999999999</v>
      </c>
      <c r="I27" s="33">
        <v>263.86799999999999</v>
      </c>
      <c r="J27" s="33">
        <v>263.86799999999999</v>
      </c>
      <c r="K27" s="33">
        <v>263.86799999999999</v>
      </c>
      <c r="L27" s="33">
        <v>263.86799999999999</v>
      </c>
      <c r="M27" s="33">
        <v>263.86799999999999</v>
      </c>
      <c r="N27" s="33">
        <v>263.86799999999999</v>
      </c>
      <c r="O27" s="33">
        <v>263.86799999999999</v>
      </c>
      <c r="P27" s="33">
        <v>263.86799999999999</v>
      </c>
      <c r="Q27" s="33">
        <v>263.86799999999999</v>
      </c>
      <c r="R27" s="33">
        <v>263.86799999999999</v>
      </c>
      <c r="S27" s="33">
        <v>263.86799999999999</v>
      </c>
      <c r="T27" s="33">
        <v>263.86799999999999</v>
      </c>
      <c r="U27" s="33">
        <v>263.86799999999999</v>
      </c>
      <c r="V27" s="33">
        <v>263.86799999999999</v>
      </c>
      <c r="W27" s="33">
        <v>263.86799999999999</v>
      </c>
      <c r="X27" s="33">
        <v>263.86799999999999</v>
      </c>
      <c r="Y27" s="33">
        <v>263.86799999999999</v>
      </c>
      <c r="Z27" s="33">
        <v>263.86799999999999</v>
      </c>
      <c r="AA27" s="33">
        <v>263.86799999999999</v>
      </c>
      <c r="AB27" s="33">
        <v>263.86799999999999</v>
      </c>
      <c r="AC27" s="33">
        <v>263.86799999999999</v>
      </c>
    </row>
    <row r="28" spans="2:29" x14ac:dyDescent="0.35">
      <c r="B28" t="s">
        <v>65</v>
      </c>
      <c r="C28" s="7" t="s">
        <v>52</v>
      </c>
      <c r="D28" s="7"/>
      <c r="E28" s="33">
        <v>273.63600000000002</v>
      </c>
      <c r="F28" s="33">
        <v>273.63600000000002</v>
      </c>
      <c r="G28" s="33">
        <v>273.63600000000002</v>
      </c>
      <c r="H28" s="33">
        <v>273.63600000000002</v>
      </c>
      <c r="I28" s="33">
        <v>273.63600000000002</v>
      </c>
      <c r="J28" s="33">
        <v>273.63600000000002</v>
      </c>
      <c r="K28" s="33">
        <v>273.63600000000002</v>
      </c>
      <c r="L28" s="33">
        <v>273.63600000000002</v>
      </c>
      <c r="M28" s="33">
        <v>273.63600000000002</v>
      </c>
      <c r="N28" s="33">
        <v>273.63600000000002</v>
      </c>
      <c r="O28" s="33">
        <v>273.63600000000002</v>
      </c>
      <c r="P28" s="33">
        <v>273.63600000000002</v>
      </c>
      <c r="Q28" s="33">
        <v>273.63600000000002</v>
      </c>
      <c r="R28" s="33">
        <v>273.63600000000002</v>
      </c>
      <c r="S28" s="33">
        <v>273.63600000000002</v>
      </c>
      <c r="T28" s="33">
        <v>273.63600000000002</v>
      </c>
      <c r="U28" s="33">
        <v>273.63600000000002</v>
      </c>
      <c r="V28" s="33">
        <v>273.63600000000002</v>
      </c>
      <c r="W28" s="33">
        <v>273.63600000000002</v>
      </c>
      <c r="X28" s="33">
        <v>273.63600000000002</v>
      </c>
      <c r="Y28" s="33">
        <v>273.63600000000002</v>
      </c>
      <c r="Z28" s="33">
        <v>273.63600000000002</v>
      </c>
      <c r="AA28" s="33">
        <v>273.63600000000002</v>
      </c>
      <c r="AB28" s="33">
        <v>273.63600000000002</v>
      </c>
      <c r="AC28" s="33">
        <v>273.63600000000002</v>
      </c>
    </row>
    <row r="29" spans="2:29" x14ac:dyDescent="0.35">
      <c r="B29" t="s">
        <v>66</v>
      </c>
      <c r="C29" s="7" t="s">
        <v>52</v>
      </c>
      <c r="D29" s="7"/>
      <c r="E29" s="33">
        <v>229.28400000000002</v>
      </c>
      <c r="F29" s="33">
        <v>229.28400000000002</v>
      </c>
      <c r="G29" s="33">
        <v>229.28400000000002</v>
      </c>
      <c r="H29" s="33">
        <v>229.28400000000002</v>
      </c>
      <c r="I29" s="33">
        <v>229.28400000000002</v>
      </c>
      <c r="J29" s="33">
        <v>229.28400000000002</v>
      </c>
      <c r="K29" s="33">
        <v>229.28400000000002</v>
      </c>
      <c r="L29" s="33">
        <v>229.28400000000002</v>
      </c>
      <c r="M29" s="33">
        <v>229.28400000000002</v>
      </c>
      <c r="N29" s="33">
        <v>229.28400000000002</v>
      </c>
      <c r="O29" s="33">
        <v>229.28400000000002</v>
      </c>
      <c r="P29" s="33">
        <v>229.28400000000002</v>
      </c>
      <c r="Q29" s="33">
        <v>229.28400000000002</v>
      </c>
      <c r="R29" s="33">
        <v>229.28400000000002</v>
      </c>
      <c r="S29" s="33">
        <v>229.28400000000002</v>
      </c>
      <c r="T29" s="33">
        <v>229.28400000000002</v>
      </c>
      <c r="U29" s="33">
        <v>229.28400000000002</v>
      </c>
      <c r="V29" s="33">
        <v>229.28400000000002</v>
      </c>
      <c r="W29" s="33">
        <v>229.28400000000002</v>
      </c>
      <c r="X29" s="33">
        <v>229.28400000000002</v>
      </c>
      <c r="Y29" s="33">
        <v>229.28400000000002</v>
      </c>
      <c r="Z29" s="33">
        <v>229.28400000000002</v>
      </c>
      <c r="AA29" s="33">
        <v>229.28400000000002</v>
      </c>
      <c r="AB29" s="33">
        <v>229.28400000000002</v>
      </c>
      <c r="AC29" s="33">
        <v>229.28400000000002</v>
      </c>
    </row>
    <row r="31" spans="2:29" x14ac:dyDescent="0.35">
      <c r="B31" s="42" t="s">
        <v>68</v>
      </c>
    </row>
    <row r="32" spans="2:29" x14ac:dyDescent="0.35">
      <c r="B32" t="s">
        <v>69</v>
      </c>
      <c r="C32" s="7" t="s">
        <v>52</v>
      </c>
      <c r="D32" s="7"/>
      <c r="E32" s="33" t="s">
        <v>58</v>
      </c>
      <c r="F32" s="33" t="s">
        <v>58</v>
      </c>
      <c r="G32" s="33" t="s">
        <v>58</v>
      </c>
      <c r="H32" s="33" t="s">
        <v>58</v>
      </c>
      <c r="I32" s="33" t="s">
        <v>58</v>
      </c>
      <c r="J32" s="33" t="s">
        <v>58</v>
      </c>
      <c r="K32" s="33" t="s">
        <v>58</v>
      </c>
      <c r="L32" s="33" t="s">
        <v>58</v>
      </c>
      <c r="M32" s="33" t="s">
        <v>58</v>
      </c>
      <c r="N32" s="33" t="s">
        <v>58</v>
      </c>
      <c r="O32" s="33" t="s">
        <v>58</v>
      </c>
      <c r="P32" s="33" t="s">
        <v>58</v>
      </c>
      <c r="Q32" s="33" t="s">
        <v>58</v>
      </c>
      <c r="R32" s="33" t="s">
        <v>58</v>
      </c>
      <c r="S32" s="33" t="s">
        <v>58</v>
      </c>
      <c r="T32" s="33" t="s">
        <v>58</v>
      </c>
      <c r="U32" s="33" t="s">
        <v>58</v>
      </c>
      <c r="V32" s="33" t="s">
        <v>58</v>
      </c>
      <c r="W32" s="33" t="s">
        <v>58</v>
      </c>
      <c r="X32" s="33" t="s">
        <v>58</v>
      </c>
      <c r="Y32" s="33" t="s">
        <v>58</v>
      </c>
      <c r="Z32" s="33" t="s">
        <v>58</v>
      </c>
      <c r="AA32" s="33" t="s">
        <v>58</v>
      </c>
      <c r="AB32" s="33" t="s">
        <v>58</v>
      </c>
      <c r="AC32" s="33" t="s">
        <v>58</v>
      </c>
    </row>
    <row r="33" spans="2:29" x14ac:dyDescent="0.35">
      <c r="B33" t="s">
        <v>70</v>
      </c>
      <c r="C33" s="7" t="s">
        <v>52</v>
      </c>
      <c r="D33" t="s">
        <v>71</v>
      </c>
      <c r="E33" s="27">
        <v>14.62978536585366</v>
      </c>
      <c r="F33" s="27">
        <v>14.62978536585366</v>
      </c>
      <c r="G33" s="27">
        <v>14.62978536585366</v>
      </c>
      <c r="H33" s="27">
        <v>14.62978536585366</v>
      </c>
      <c r="I33" s="27">
        <v>14.62978536585366</v>
      </c>
      <c r="J33" s="27">
        <v>14.62978536585366</v>
      </c>
      <c r="K33" s="27">
        <v>14.62978536585366</v>
      </c>
      <c r="L33" s="27">
        <v>14.62978536585366</v>
      </c>
      <c r="M33" s="27">
        <v>14.62978536585366</v>
      </c>
      <c r="N33" s="27">
        <v>14.62978536585366</v>
      </c>
      <c r="O33" s="27">
        <v>14.62978536585366</v>
      </c>
      <c r="P33" s="27">
        <v>14.62978536585366</v>
      </c>
      <c r="Q33" s="27">
        <v>14.62978536585366</v>
      </c>
      <c r="R33" s="27">
        <v>14.62978536585366</v>
      </c>
      <c r="S33" s="27">
        <v>14.62978536585366</v>
      </c>
      <c r="T33" s="27">
        <v>14.62978536585366</v>
      </c>
      <c r="U33" s="27">
        <v>14.62978536585366</v>
      </c>
      <c r="V33" s="27">
        <v>14.62978536585366</v>
      </c>
      <c r="W33" s="27">
        <v>14.62978536585366</v>
      </c>
      <c r="X33" s="27">
        <v>14.62978536585366</v>
      </c>
      <c r="Y33" s="27">
        <v>14.62978536585366</v>
      </c>
      <c r="Z33" s="27">
        <v>14.62978536585366</v>
      </c>
      <c r="AA33" s="27">
        <v>14.62978536585366</v>
      </c>
      <c r="AB33" s="27">
        <v>14.62978536585366</v>
      </c>
      <c r="AC33" s="27">
        <v>14.62978536585366</v>
      </c>
    </row>
    <row r="34" spans="2:29" x14ac:dyDescent="0.35">
      <c r="B34" t="s">
        <v>72</v>
      </c>
      <c r="C34" s="7" t="s">
        <v>52</v>
      </c>
      <c r="D34" t="s">
        <v>73</v>
      </c>
      <c r="E34" s="33" t="s">
        <v>58</v>
      </c>
      <c r="F34" s="33" t="s">
        <v>58</v>
      </c>
      <c r="G34" s="33" t="s">
        <v>58</v>
      </c>
      <c r="H34" s="33" t="s">
        <v>58</v>
      </c>
      <c r="I34" s="33" t="s">
        <v>58</v>
      </c>
      <c r="J34" s="33" t="s">
        <v>58</v>
      </c>
      <c r="K34" s="33" t="s">
        <v>58</v>
      </c>
      <c r="L34" s="33" t="s">
        <v>58</v>
      </c>
      <c r="M34" s="33" t="s">
        <v>58</v>
      </c>
      <c r="N34" s="33" t="s">
        <v>58</v>
      </c>
      <c r="O34" s="33" t="s">
        <v>58</v>
      </c>
      <c r="P34" s="33" t="s">
        <v>58</v>
      </c>
      <c r="Q34" s="33" t="s">
        <v>58</v>
      </c>
      <c r="R34" s="33" t="s">
        <v>58</v>
      </c>
      <c r="S34" s="33" t="s">
        <v>58</v>
      </c>
      <c r="T34" s="33" t="s">
        <v>58</v>
      </c>
      <c r="U34" s="33" t="s">
        <v>58</v>
      </c>
      <c r="V34" s="33" t="s">
        <v>58</v>
      </c>
      <c r="W34" s="33" t="s">
        <v>58</v>
      </c>
      <c r="X34" s="33" t="s">
        <v>58</v>
      </c>
      <c r="Y34" s="33" t="s">
        <v>58</v>
      </c>
      <c r="Z34" s="33" t="s">
        <v>58</v>
      </c>
      <c r="AA34" s="33" t="s">
        <v>58</v>
      </c>
      <c r="AB34" s="33" t="s">
        <v>58</v>
      </c>
      <c r="AC34" s="33" t="s">
        <v>58</v>
      </c>
    </row>
    <row r="35" spans="2:29" x14ac:dyDescent="0.35">
      <c r="B35" t="s">
        <v>74</v>
      </c>
      <c r="C35" s="7" t="s">
        <v>52</v>
      </c>
      <c r="D35" t="s">
        <v>75</v>
      </c>
      <c r="E35" s="33" t="s">
        <v>58</v>
      </c>
      <c r="F35" s="33" t="s">
        <v>58</v>
      </c>
      <c r="G35" s="33" t="s">
        <v>58</v>
      </c>
      <c r="H35" s="33" t="s">
        <v>58</v>
      </c>
      <c r="I35" s="33" t="s">
        <v>58</v>
      </c>
      <c r="J35" s="33" t="s">
        <v>58</v>
      </c>
      <c r="K35" s="33" t="s">
        <v>58</v>
      </c>
      <c r="L35" s="33" t="s">
        <v>58</v>
      </c>
      <c r="M35" s="33" t="s">
        <v>58</v>
      </c>
      <c r="N35" s="33" t="s">
        <v>58</v>
      </c>
      <c r="O35" s="33" t="s">
        <v>58</v>
      </c>
      <c r="P35" s="33" t="s">
        <v>58</v>
      </c>
      <c r="Q35" s="33" t="s">
        <v>58</v>
      </c>
      <c r="R35" s="33" t="s">
        <v>58</v>
      </c>
      <c r="S35" s="33" t="s">
        <v>58</v>
      </c>
      <c r="T35" s="33" t="s">
        <v>58</v>
      </c>
      <c r="U35" s="33" t="s">
        <v>58</v>
      </c>
      <c r="V35" s="33" t="s">
        <v>58</v>
      </c>
      <c r="W35" s="33" t="s">
        <v>58</v>
      </c>
      <c r="X35" s="33" t="s">
        <v>58</v>
      </c>
      <c r="Y35" s="33" t="s">
        <v>58</v>
      </c>
      <c r="Z35" s="33" t="s">
        <v>58</v>
      </c>
      <c r="AA35" s="33" t="s">
        <v>58</v>
      </c>
      <c r="AB35" s="33" t="s">
        <v>58</v>
      </c>
      <c r="AC35" s="33" t="s">
        <v>58</v>
      </c>
    </row>
    <row r="36" spans="2:29" x14ac:dyDescent="0.35">
      <c r="B36" t="s">
        <v>76</v>
      </c>
      <c r="C36" s="7" t="s">
        <v>52</v>
      </c>
      <c r="E36" s="33" t="s">
        <v>58</v>
      </c>
      <c r="F36" s="33" t="s">
        <v>58</v>
      </c>
      <c r="G36" s="33" t="s">
        <v>58</v>
      </c>
      <c r="H36" s="33" t="s">
        <v>58</v>
      </c>
      <c r="I36" s="33" t="s">
        <v>58</v>
      </c>
      <c r="J36" s="33" t="s">
        <v>58</v>
      </c>
      <c r="K36" s="33" t="s">
        <v>58</v>
      </c>
      <c r="L36" s="33" t="s">
        <v>58</v>
      </c>
      <c r="M36" s="33" t="s">
        <v>58</v>
      </c>
      <c r="N36" s="33" t="s">
        <v>58</v>
      </c>
      <c r="O36" s="33" t="s">
        <v>58</v>
      </c>
      <c r="P36" s="33" t="s">
        <v>58</v>
      </c>
      <c r="Q36" s="33" t="s">
        <v>58</v>
      </c>
      <c r="R36" s="33" t="s">
        <v>58</v>
      </c>
      <c r="S36" s="33" t="s">
        <v>58</v>
      </c>
      <c r="T36" s="33" t="s">
        <v>58</v>
      </c>
      <c r="U36" s="33" t="s">
        <v>58</v>
      </c>
      <c r="V36" s="33" t="s">
        <v>58</v>
      </c>
      <c r="W36" s="33" t="s">
        <v>58</v>
      </c>
      <c r="X36" s="33" t="s">
        <v>58</v>
      </c>
      <c r="Y36" s="33" t="s">
        <v>58</v>
      </c>
      <c r="Z36" s="33" t="s">
        <v>58</v>
      </c>
      <c r="AA36" s="33" t="s">
        <v>58</v>
      </c>
      <c r="AB36" s="33" t="s">
        <v>58</v>
      </c>
      <c r="AC36" s="33" t="s">
        <v>58</v>
      </c>
    </row>
    <row r="37" spans="2:29" x14ac:dyDescent="0.35">
      <c r="B37" t="s">
        <v>77</v>
      </c>
      <c r="C37" s="7" t="s">
        <v>52</v>
      </c>
      <c r="D37" t="s">
        <v>110</v>
      </c>
      <c r="E37" s="33" t="s">
        <v>58</v>
      </c>
      <c r="F37" s="33" t="s">
        <v>58</v>
      </c>
      <c r="G37" s="33" t="s">
        <v>58</v>
      </c>
      <c r="H37" s="33" t="s">
        <v>58</v>
      </c>
      <c r="I37" s="33" t="s">
        <v>58</v>
      </c>
      <c r="J37" s="33" t="s">
        <v>58</v>
      </c>
      <c r="K37" s="33" t="s">
        <v>58</v>
      </c>
      <c r="L37" s="33" t="s">
        <v>58</v>
      </c>
      <c r="M37" s="33" t="s">
        <v>58</v>
      </c>
      <c r="N37" s="33" t="s">
        <v>58</v>
      </c>
      <c r="O37" s="33" t="s">
        <v>58</v>
      </c>
      <c r="P37" s="33" t="s">
        <v>58</v>
      </c>
      <c r="Q37" s="33" t="s">
        <v>58</v>
      </c>
      <c r="R37" s="33" t="s">
        <v>58</v>
      </c>
      <c r="S37" s="33" t="s">
        <v>58</v>
      </c>
      <c r="T37" s="33" t="s">
        <v>58</v>
      </c>
      <c r="U37" s="33" t="s">
        <v>58</v>
      </c>
      <c r="V37" s="33" t="s">
        <v>58</v>
      </c>
      <c r="W37" s="33" t="s">
        <v>58</v>
      </c>
      <c r="X37" s="33" t="s">
        <v>58</v>
      </c>
      <c r="Y37" s="33" t="s">
        <v>58</v>
      </c>
      <c r="Z37" s="33" t="s">
        <v>58</v>
      </c>
      <c r="AA37" s="33" t="s">
        <v>58</v>
      </c>
      <c r="AB37" s="33" t="s">
        <v>58</v>
      </c>
      <c r="AC37" s="33" t="s">
        <v>58</v>
      </c>
    </row>
    <row r="39" spans="2:29" x14ac:dyDescent="0.35">
      <c r="B39" s="42" t="s">
        <v>78</v>
      </c>
    </row>
    <row r="40" spans="2:29" x14ac:dyDescent="0.35">
      <c r="B40" t="s">
        <v>79</v>
      </c>
      <c r="C40" s="7" t="s">
        <v>52</v>
      </c>
      <c r="D40" s="7"/>
      <c r="E40" s="28" cm="1">
        <f t="array" ref="E40">_xlfn._xlws.FILTER(road_diesel_blend[Blend_gCO2_kWh],road_diesel_blend[Year]=E$21)</f>
        <v>263.88</v>
      </c>
      <c r="F40" s="28" cm="1">
        <f t="array" ref="F40">_xlfn._xlws.FILTER(road_diesel_blend[Blend_gCO2_kWh],road_diesel_blend[Year]=F$21)</f>
        <v>263.88</v>
      </c>
      <c r="G40" s="28" cm="1">
        <f t="array" ref="G40">_xlfn._xlws.FILTER(road_diesel_blend[Blend_gCO2_kWh],road_diesel_blend[Year]=G$21)</f>
        <v>263.88</v>
      </c>
      <c r="H40" s="28" cm="1">
        <f t="array" ref="H40">_xlfn._xlws.FILTER(road_diesel_blend[Blend_gCO2_kWh],road_diesel_blend[Year]=H$21)</f>
        <v>263.88</v>
      </c>
      <c r="I40" s="28" cm="1">
        <f t="array" ref="I40">_xlfn._xlws.FILTER(road_diesel_blend[Blend_gCO2_kWh],road_diesel_blend[Year]=I$21)</f>
        <v>263.75894293645086</v>
      </c>
      <c r="J40" s="28" cm="1">
        <f t="array" ref="J40">_xlfn._xlws.FILTER(road_diesel_blend[Blend_gCO2_kWh],road_diesel_blend[Year]=J$21)</f>
        <v>263.66757138493381</v>
      </c>
      <c r="K40" s="28" cm="1">
        <f t="array" ref="K40">_xlfn._xlws.FILTER(road_diesel_blend[Blend_gCO2_kWh],road_diesel_blend[Year]=K$21)</f>
        <v>262.1863558425548</v>
      </c>
      <c r="L40" s="28" cm="1">
        <f t="array" ref="L40">_xlfn._xlws.FILTER(road_diesel_blend[Blend_gCO2_kWh],road_diesel_blend[Year]=L$21)</f>
        <v>260.16433846694338</v>
      </c>
      <c r="M40" s="28" cm="1">
        <f t="array" ref="M40">_xlfn._xlws.FILTER(road_diesel_blend[Blend_gCO2_kWh],road_diesel_blend[Year]=M$21)</f>
        <v>258.02364227632381</v>
      </c>
      <c r="N40" s="28" cm="1">
        <f t="array" ref="N40">_xlfn._xlws.FILTER(road_diesel_blend[Blend_gCO2_kWh],road_diesel_blend[Year]=N$21)</f>
        <v>256.76649910946395</v>
      </c>
      <c r="O40" s="28" cm="1">
        <f t="array" ref="O40">_xlfn._xlws.FILTER(road_diesel_blend[Blend_gCO2_kWh],road_diesel_blend[Year]=O$21)</f>
        <v>256.11682285486393</v>
      </c>
      <c r="P40" s="28" cm="1">
        <f t="array" ref="P40">_xlfn._xlws.FILTER(road_diesel_blend[Blend_gCO2_kWh],road_diesel_blend[Year]=P$21)</f>
        <v>257.45295105962265</v>
      </c>
      <c r="Q40" s="28" cm="1">
        <f t="array" ref="Q40">_xlfn._xlws.FILTER(road_diesel_blend[Blend_gCO2_kWh],road_diesel_blend[Year]=Q$21)</f>
        <v>256.03638180165291</v>
      </c>
      <c r="R40" s="28" cm="1">
        <f t="array" ref="R40">_xlfn._xlws.FILTER(road_diesel_blend[Blend_gCO2_kWh],road_diesel_blend[Year]=R$21)</f>
        <v>254.93737329727784</v>
      </c>
      <c r="S40" s="28" cm="1">
        <f t="array" ref="S40">_xlfn._xlws.FILTER(road_diesel_blend[Blend_gCO2_kWh],road_diesel_blend[Year]=S$21)</f>
        <v>254.86615187836242</v>
      </c>
      <c r="T40" s="28" cm="1">
        <f t="array" ref="T40">_xlfn._xlws.FILTER(road_diesel_blend[Blend_gCO2_kWh],road_diesel_blend[Year]=T$21)</f>
        <v>256.54767307430745</v>
      </c>
      <c r="U40" s="28" cm="1">
        <f t="array" ref="U40">_xlfn._xlws.FILTER(road_diesel_blend[Blend_gCO2_kWh],road_diesel_blend[Year]=U$21)</f>
        <v>253.02776818676978</v>
      </c>
      <c r="V40" s="28" cm="1">
        <f t="array" ref="V40">_xlfn._xlws.FILTER(road_diesel_blend[Blend_gCO2_kWh],road_diesel_blend[Year]=V$21)</f>
        <v>253.75689415307696</v>
      </c>
      <c r="W40" s="28" cm="1">
        <f t="array" ref="W40">_xlfn._xlws.FILTER(road_diesel_blend[Blend_gCO2_kWh],road_diesel_blend[Year]=W$21)</f>
        <v>251.25453645354304</v>
      </c>
      <c r="X40" s="28" cm="1">
        <f t="array" ref="X40">_xlfn._xlws.FILTER(road_diesel_blend[Blend_gCO2_kWh],road_diesel_blend[Year]=X$21)</f>
        <v>249.83172037908886</v>
      </c>
      <c r="Y40" s="28" cm="1">
        <f t="array" ref="Y40">_xlfn._xlws.FILTER(road_diesel_blend[Blend_gCO2_kWh],road_diesel_blend[Year]=Y$21)</f>
        <v>250.34229890867769</v>
      </c>
      <c r="Z40" s="28" cm="1">
        <f t="array" ref="Z40">_xlfn._xlws.FILTER(road_diesel_blend[Blend_gCO2_kWh],road_diesel_blend[Year]=Z$21)</f>
        <v>247.62192242930817</v>
      </c>
      <c r="AA40" s="28" cm="1">
        <f t="array" ref="AA40">_xlfn._xlws.FILTER(road_diesel_blend[Blend_gCO2_kWh],road_diesel_blend[Year]=AA$21)</f>
        <v>243.91649802783667</v>
      </c>
      <c r="AB40" s="28" cm="1">
        <f t="array" ref="AB40">_xlfn._xlws.FILTER(road_diesel_blend[Blend_gCO2_kWh],road_diesel_blend[Year]=AB$21)</f>
        <v>241.0378837273297</v>
      </c>
      <c r="AC40" s="28" cm="1">
        <f t="array" ref="AC40">_xlfn._xlws.FILTER(road_diesel_blend[Blend_gCO2_kWh],road_diesel_blend[Year]=AC$21)</f>
        <v>239.04139311113681</v>
      </c>
    </row>
    <row r="41" spans="2:29" x14ac:dyDescent="0.35">
      <c r="B41" t="s">
        <v>80</v>
      </c>
      <c r="C41" s="7" t="s">
        <v>52</v>
      </c>
      <c r="D41" s="7"/>
      <c r="E41" s="28" cm="1">
        <f t="array" ref="E41">_xlfn._xlws.FILTER(road_petrol_blend[Blend_gCO2_kWh],road_petrol_blend[Year]=E$21)</f>
        <v>251.85599999999999</v>
      </c>
      <c r="F41" s="28" cm="1">
        <f t="array" ref="F41">_xlfn._xlws.FILTER(road_petrol_blend[Blend_gCO2_kWh],road_petrol_blend[Year]=F$21)</f>
        <v>251.85599999999999</v>
      </c>
      <c r="G41" s="28" cm="1">
        <f t="array" ref="G41">_xlfn._xlws.FILTER(road_petrol_blend[Blend_gCO2_kWh],road_petrol_blend[Year]=G$21)</f>
        <v>251.85599999999999</v>
      </c>
      <c r="H41" s="28" cm="1">
        <f t="array" ref="H41">_xlfn._xlws.FILTER(road_petrol_blend[Blend_gCO2_kWh],road_petrol_blend[Year]=H$21)</f>
        <v>251.85599999999999</v>
      </c>
      <c r="I41" s="28" cm="1">
        <f t="array" ref="I41">_xlfn._xlws.FILTER(road_petrol_blend[Blend_gCO2_kWh],road_petrol_blend[Year]=I$21)</f>
        <v>251.85485220974812</v>
      </c>
      <c r="J41" s="28" cm="1">
        <f t="array" ref="J41">_xlfn._xlws.FILTER(road_petrol_blend[Blend_gCO2_kWh],road_petrol_blend[Year]=J$21)</f>
        <v>251.76812062874433</v>
      </c>
      <c r="K41" s="28" cm="1">
        <f t="array" ref="K41">_xlfn._xlws.FILTER(road_petrol_blend[Blend_gCO2_kWh],road_petrol_blend[Year]=K$21)</f>
        <v>251.38757154586582</v>
      </c>
      <c r="L41" s="28" cm="1">
        <f t="array" ref="L41">_xlfn._xlws.FILTER(road_petrol_blend[Blend_gCO2_kWh],road_petrol_blend[Year]=L$21)</f>
        <v>249.37386922455988</v>
      </c>
      <c r="M41" s="28" cm="1">
        <f t="array" ref="M41">_xlfn._xlws.FILTER(road_petrol_blend[Blend_gCO2_kWh],road_petrol_blend[Year]=M$21)</f>
        <v>248.39156401236713</v>
      </c>
      <c r="N41" s="28" cm="1">
        <f t="array" ref="N41">_xlfn._xlws.FILTER(road_petrol_blend[Blend_gCO2_kWh],road_petrol_blend[Year]=N$21)</f>
        <v>246.81480224218112</v>
      </c>
      <c r="O41" s="28" cm="1">
        <f t="array" ref="O41">_xlfn._xlws.FILTER(road_petrol_blend[Blend_gCO2_kWh],road_petrol_blend[Year]=O$21)</f>
        <v>246.72597508096146</v>
      </c>
      <c r="P41" s="28" cm="1">
        <f t="array" ref="P41">_xlfn._xlws.FILTER(road_petrol_blend[Blend_gCO2_kWh],road_petrol_blend[Year]=P$21)</f>
        <v>246.31693143093563</v>
      </c>
      <c r="Q41" s="28" cm="1">
        <f t="array" ref="Q41">_xlfn._xlws.FILTER(road_petrol_blend[Blend_gCO2_kWh],road_petrol_blend[Year]=Q$21)</f>
        <v>245.98972242893061</v>
      </c>
      <c r="R41" s="28" cm="1">
        <f t="array" ref="R41">_xlfn._xlws.FILTER(road_petrol_blend[Blend_gCO2_kWh],road_petrol_blend[Year]=R$21)</f>
        <v>246.07750829391946</v>
      </c>
      <c r="S41" s="28" cm="1">
        <f t="array" ref="S41">_xlfn._xlws.FILTER(road_petrol_blend[Blend_gCO2_kWh],road_petrol_blend[Year]=S$21)</f>
        <v>245.04641913699078</v>
      </c>
      <c r="T41" s="28" cm="1">
        <f t="array" ref="T41">_xlfn._xlws.FILTER(road_petrol_blend[Blend_gCO2_kWh],road_petrol_blend[Year]=T$21)</f>
        <v>243.88875849819789</v>
      </c>
      <c r="U41" s="28" cm="1">
        <f t="array" ref="U41">_xlfn._xlws.FILTER(road_petrol_blend[Blend_gCO2_kWh],road_petrol_blend[Year]=U$21)</f>
        <v>243.87127850947778</v>
      </c>
      <c r="V41" s="28" cm="1">
        <f t="array" ref="V41">_xlfn._xlws.FILTER(road_petrol_blend[Blend_gCO2_kWh],road_petrol_blend[Year]=V$21)</f>
        <v>243.7888639532797</v>
      </c>
      <c r="W41" s="28" cm="1">
        <f t="array" ref="W41">_xlfn._xlws.FILTER(road_petrol_blend[Blend_gCO2_kWh],road_petrol_blend[Year]=W$21)</f>
        <v>243.68296270593066</v>
      </c>
      <c r="X41" s="28" cm="1">
        <f t="array" ref="X41">_xlfn._xlws.FILTER(road_petrol_blend[Blend_gCO2_kWh],road_petrol_blend[Year]=X$21)</f>
        <v>243.66820133489321</v>
      </c>
      <c r="Y41" s="28" cm="1">
        <f t="array" ref="Y41">_xlfn._xlws.FILTER(road_petrol_blend[Blend_gCO2_kWh],road_petrol_blend[Year]=Y$21)</f>
        <v>243.77073997368777</v>
      </c>
      <c r="Z41" s="28" cm="1">
        <f t="array" ref="Z41">_xlfn._xlws.FILTER(road_petrol_blend[Blend_gCO2_kWh],road_petrol_blend[Year]=Z$21)</f>
        <v>243.72452287401507</v>
      </c>
      <c r="AA41" s="28" cm="1">
        <f t="array" ref="AA41">_xlfn._xlws.FILTER(road_petrol_blend[Blend_gCO2_kWh],road_petrol_blend[Year]=AA$21)</f>
        <v>241.22144229640324</v>
      </c>
      <c r="AB41" s="28" cm="1">
        <f t="array" ref="AB41">_xlfn._xlws.FILTER(road_petrol_blend[Blend_gCO2_kWh],road_petrol_blend[Year]=AB$21)</f>
        <v>236.79820882100645</v>
      </c>
      <c r="AC41" s="28" cm="1">
        <f t="array" ref="AC41">_xlfn._xlws.FILTER(road_petrol_blend[Blend_gCO2_kWh],road_petrol_blend[Year]=AC$21)</f>
        <v>235.55658772213803</v>
      </c>
    </row>
    <row r="42" spans="2:29" x14ac:dyDescent="0.35">
      <c r="B42" s="7"/>
      <c r="C42" s="7"/>
      <c r="D42" s="7"/>
      <c r="E42" s="7"/>
      <c r="F42" s="7"/>
      <c r="G42" s="7"/>
      <c r="H42" s="7"/>
      <c r="I42" s="7"/>
      <c r="J42" s="7"/>
      <c r="K42" s="7"/>
      <c r="L42" s="7"/>
      <c r="M42" s="7"/>
      <c r="N42" s="7"/>
      <c r="O42" s="7"/>
      <c r="P42" s="7"/>
      <c r="Q42" s="7"/>
      <c r="R42" s="7"/>
      <c r="S42" s="7"/>
      <c r="T42" s="7"/>
      <c r="U42" s="7"/>
      <c r="V42" s="7"/>
      <c r="W42" s="7"/>
      <c r="X42" s="7"/>
      <c r="Y42" s="7"/>
      <c r="Z42" s="7"/>
      <c r="AA42" s="7"/>
    </row>
    <row r="43" spans="2:29" x14ac:dyDescent="0.35">
      <c r="B43" s="7"/>
      <c r="C43" s="7"/>
      <c r="D43" s="7"/>
      <c r="E43" s="7"/>
      <c r="F43" s="7"/>
      <c r="G43" s="7"/>
      <c r="H43" s="7"/>
      <c r="I43" s="7"/>
      <c r="J43" s="7"/>
      <c r="K43" s="7"/>
      <c r="L43" s="7"/>
      <c r="M43" s="7"/>
      <c r="N43" s="7"/>
      <c r="O43" s="7"/>
      <c r="P43" s="7"/>
      <c r="Q43" s="7"/>
      <c r="R43" s="7"/>
      <c r="S43" s="7"/>
      <c r="T43" s="7"/>
      <c r="U43" s="7"/>
      <c r="V43" s="7"/>
      <c r="W43" s="7"/>
      <c r="X43" s="7"/>
      <c r="Y43" s="7"/>
      <c r="Z43" s="7"/>
      <c r="AA43" s="7"/>
    </row>
    <row r="44" spans="2:29" ht="15" thickBot="1" x14ac:dyDescent="0.4">
      <c r="B44" s="12" t="s">
        <v>81</v>
      </c>
      <c r="C44" s="12" t="s">
        <v>108</v>
      </c>
      <c r="D44" s="12" t="s">
        <v>47</v>
      </c>
      <c r="E44" s="12">
        <v>2001</v>
      </c>
      <c r="F44" s="12">
        <f>E44+1</f>
        <v>2002</v>
      </c>
      <c r="G44" s="12">
        <f t="shared" ref="G44" si="1">F44+1</f>
        <v>2003</v>
      </c>
      <c r="H44" s="12">
        <f t="shared" ref="H44" si="2">G44+1</f>
        <v>2004</v>
      </c>
      <c r="I44" s="12">
        <f t="shared" ref="I44" si="3">H44+1</f>
        <v>2005</v>
      </c>
      <c r="J44" s="12">
        <f t="shared" ref="J44" si="4">I44+1</f>
        <v>2006</v>
      </c>
      <c r="K44" s="12">
        <f t="shared" ref="K44" si="5">J44+1</f>
        <v>2007</v>
      </c>
      <c r="L44" s="12">
        <f t="shared" ref="L44" si="6">K44+1</f>
        <v>2008</v>
      </c>
      <c r="M44" s="12">
        <f t="shared" ref="M44" si="7">L44+1</f>
        <v>2009</v>
      </c>
      <c r="N44" s="12">
        <f t="shared" ref="N44" si="8">M44+1</f>
        <v>2010</v>
      </c>
      <c r="O44" s="12">
        <f t="shared" ref="O44" si="9">N44+1</f>
        <v>2011</v>
      </c>
      <c r="P44" s="12">
        <f t="shared" ref="P44" si="10">O44+1</f>
        <v>2012</v>
      </c>
      <c r="Q44" s="12">
        <f t="shared" ref="Q44" si="11">P44+1</f>
        <v>2013</v>
      </c>
      <c r="R44" s="12">
        <f t="shared" ref="R44" si="12">Q44+1</f>
        <v>2014</v>
      </c>
      <c r="S44" s="12">
        <f t="shared" ref="S44" si="13">R44+1</f>
        <v>2015</v>
      </c>
      <c r="T44" s="12">
        <f t="shared" ref="T44" si="14">S44+1</f>
        <v>2016</v>
      </c>
      <c r="U44" s="12">
        <f t="shared" ref="U44" si="15">T44+1</f>
        <v>2017</v>
      </c>
      <c r="V44" s="12">
        <f t="shared" ref="V44" si="16">U44+1</f>
        <v>2018</v>
      </c>
      <c r="W44" s="12">
        <f t="shared" ref="W44" si="17">V44+1</f>
        <v>2019</v>
      </c>
      <c r="X44" s="12">
        <f t="shared" ref="X44" si="18">W44+1</f>
        <v>2020</v>
      </c>
      <c r="Y44" s="12">
        <f t="shared" ref="Y44" si="19">X44+1</f>
        <v>2021</v>
      </c>
      <c r="Z44" s="12">
        <f t="shared" ref="Z44:AC44" si="20">Y44+1</f>
        <v>2022</v>
      </c>
      <c r="AA44" s="12">
        <f t="shared" si="20"/>
        <v>2023</v>
      </c>
      <c r="AB44" s="12">
        <f t="shared" si="20"/>
        <v>2024</v>
      </c>
      <c r="AC44" s="12">
        <f t="shared" si="20"/>
        <v>2025</v>
      </c>
    </row>
    <row r="45" spans="2:29" x14ac:dyDescent="0.35">
      <c r="B45" s="162" t="s">
        <v>82</v>
      </c>
    </row>
    <row r="46" spans="2:29" x14ac:dyDescent="0.35">
      <c r="B46" t="s">
        <v>83</v>
      </c>
      <c r="C46" s="7" t="s">
        <v>52</v>
      </c>
      <c r="D46" s="7"/>
      <c r="E46" s="30">
        <v>337.1334286063086</v>
      </c>
      <c r="F46" s="30">
        <v>337.1334286063086</v>
      </c>
      <c r="G46" s="30">
        <v>337.1334286063086</v>
      </c>
      <c r="H46" s="30">
        <v>337.1334286063086</v>
      </c>
      <c r="I46" s="30">
        <v>342.44305037764792</v>
      </c>
      <c r="J46" s="30">
        <v>336.36136133001014</v>
      </c>
      <c r="K46" s="30">
        <v>335.54380939725223</v>
      </c>
      <c r="L46" s="30">
        <v>334.55509445831427</v>
      </c>
      <c r="M46" s="30">
        <v>336.76382746831831</v>
      </c>
      <c r="N46" s="30">
        <v>336.95299571420099</v>
      </c>
      <c r="O46" s="30">
        <v>335.67506070473991</v>
      </c>
      <c r="P46" s="30">
        <v>334.2113038729965</v>
      </c>
      <c r="Q46" s="30">
        <v>334.59162887458734</v>
      </c>
      <c r="R46" s="30">
        <v>334.25247289303428</v>
      </c>
      <c r="S46" s="30">
        <v>340.33698068039655</v>
      </c>
      <c r="T46" s="30">
        <v>340.0044935473951</v>
      </c>
      <c r="U46" s="30">
        <v>339.87520291668994</v>
      </c>
      <c r="V46" s="30">
        <v>339.66194964130909</v>
      </c>
      <c r="W46" s="30">
        <v>336.74967843583613</v>
      </c>
      <c r="X46" s="30">
        <v>337.45774707569092</v>
      </c>
      <c r="Y46" s="30">
        <v>338.67685285517945</v>
      </c>
      <c r="Z46" s="30">
        <v>344.97310295531048</v>
      </c>
      <c r="AA46" s="30">
        <v>338.56708899078745</v>
      </c>
      <c r="AB46" s="30">
        <v>336.11679727030236</v>
      </c>
      <c r="AC46" s="30">
        <v>336.11679727030236</v>
      </c>
    </row>
    <row r="47" spans="2:29" x14ac:dyDescent="0.35">
      <c r="B47" t="s">
        <v>84</v>
      </c>
      <c r="C47" s="7" t="s">
        <v>52</v>
      </c>
      <c r="D47" s="7"/>
      <c r="E47" s="33">
        <v>340.56</v>
      </c>
      <c r="F47" s="33">
        <v>340.56</v>
      </c>
      <c r="G47" s="33">
        <v>340.56</v>
      </c>
      <c r="H47" s="33">
        <v>340.56</v>
      </c>
      <c r="I47" s="33">
        <v>340.56</v>
      </c>
      <c r="J47" s="33">
        <v>340.56</v>
      </c>
      <c r="K47" s="33">
        <v>340.56</v>
      </c>
      <c r="L47" s="33">
        <v>340.56</v>
      </c>
      <c r="M47" s="33">
        <v>340.56</v>
      </c>
      <c r="N47" s="33">
        <v>340.56</v>
      </c>
      <c r="O47" s="33">
        <v>340.56</v>
      </c>
      <c r="P47" s="33">
        <v>340.56</v>
      </c>
      <c r="Q47" s="33">
        <v>340.56</v>
      </c>
      <c r="R47" s="33">
        <v>340.56</v>
      </c>
      <c r="S47" s="33">
        <v>340.56</v>
      </c>
      <c r="T47" s="33">
        <v>340.56</v>
      </c>
      <c r="U47" s="33">
        <v>340.56</v>
      </c>
      <c r="V47" s="33">
        <v>340.56</v>
      </c>
      <c r="W47" s="33">
        <v>340.56</v>
      </c>
      <c r="X47" s="33">
        <v>340.56</v>
      </c>
      <c r="Y47" s="33">
        <v>340.56</v>
      </c>
      <c r="Z47" s="33">
        <v>340.56</v>
      </c>
      <c r="AA47" s="33">
        <v>340.56</v>
      </c>
      <c r="AB47" s="33">
        <v>340.56</v>
      </c>
      <c r="AC47" s="33">
        <v>340.56</v>
      </c>
    </row>
    <row r="48" spans="2:29" x14ac:dyDescent="0.35">
      <c r="B48" t="s">
        <v>85</v>
      </c>
      <c r="C48" s="7" t="s">
        <v>52</v>
      </c>
      <c r="D48" s="7"/>
      <c r="E48" s="33">
        <v>353.87880000000001</v>
      </c>
      <c r="F48" s="33">
        <v>353.87880000000001</v>
      </c>
      <c r="G48" s="33">
        <v>353.87880000000001</v>
      </c>
      <c r="H48" s="33">
        <v>353.87880000000001</v>
      </c>
      <c r="I48" s="33">
        <v>353.87880000000001</v>
      </c>
      <c r="J48" s="33">
        <v>353.87880000000001</v>
      </c>
      <c r="K48" s="33">
        <v>353.87880000000001</v>
      </c>
      <c r="L48" s="33">
        <v>353.87880000000001</v>
      </c>
      <c r="M48" s="33">
        <v>353.87880000000001</v>
      </c>
      <c r="N48" s="33">
        <v>353.87880000000001</v>
      </c>
      <c r="O48" s="33">
        <v>353.87880000000001</v>
      </c>
      <c r="P48" s="33">
        <v>353.87880000000001</v>
      </c>
      <c r="Q48" s="33">
        <v>353.87880000000001</v>
      </c>
      <c r="R48" s="33">
        <v>353.87880000000001</v>
      </c>
      <c r="S48" s="33">
        <v>353.87880000000001</v>
      </c>
      <c r="T48" s="33">
        <v>353.87880000000001</v>
      </c>
      <c r="U48" s="33">
        <v>353.87880000000001</v>
      </c>
      <c r="V48" s="33">
        <v>353.87880000000001</v>
      </c>
      <c r="W48" s="33">
        <v>353.87880000000001</v>
      </c>
      <c r="X48" s="33">
        <v>353.87880000000001</v>
      </c>
      <c r="Y48" s="33">
        <v>353.87880000000001</v>
      </c>
      <c r="Z48" s="33">
        <v>353.87880000000001</v>
      </c>
      <c r="AA48" s="33">
        <v>353.87880000000001</v>
      </c>
      <c r="AB48" s="33">
        <v>353.87880000000001</v>
      </c>
      <c r="AC48" s="33">
        <v>353.87880000000001</v>
      </c>
    </row>
    <row r="49" spans="2:29" x14ac:dyDescent="0.35">
      <c r="B49" t="s">
        <v>86</v>
      </c>
      <c r="C49" s="7" t="s">
        <v>52</v>
      </c>
      <c r="D49" s="7"/>
      <c r="E49" s="33">
        <v>363.59400000000005</v>
      </c>
      <c r="F49" s="33">
        <v>363.59400000000005</v>
      </c>
      <c r="G49" s="33">
        <v>363.59400000000005</v>
      </c>
      <c r="H49" s="33">
        <v>363.59400000000005</v>
      </c>
      <c r="I49" s="33">
        <v>363.59400000000005</v>
      </c>
      <c r="J49" s="33">
        <v>363.59400000000005</v>
      </c>
      <c r="K49" s="33">
        <v>363.59400000000005</v>
      </c>
      <c r="L49" s="33">
        <v>363.59400000000005</v>
      </c>
      <c r="M49" s="33">
        <v>363.59400000000005</v>
      </c>
      <c r="N49" s="33">
        <v>363.59400000000005</v>
      </c>
      <c r="O49" s="33">
        <v>363.59400000000005</v>
      </c>
      <c r="P49" s="33">
        <v>363.59400000000005</v>
      </c>
      <c r="Q49" s="33">
        <v>363.59400000000005</v>
      </c>
      <c r="R49" s="33">
        <v>363.59400000000005</v>
      </c>
      <c r="S49" s="33">
        <v>363.59400000000005</v>
      </c>
      <c r="T49" s="33">
        <v>363.59400000000005</v>
      </c>
      <c r="U49" s="33">
        <v>363.59400000000005</v>
      </c>
      <c r="V49" s="33">
        <v>363.59400000000005</v>
      </c>
      <c r="W49" s="33">
        <v>363.59400000000005</v>
      </c>
      <c r="X49" s="33">
        <v>363.59400000000005</v>
      </c>
      <c r="Y49" s="33">
        <v>363.59400000000005</v>
      </c>
      <c r="Z49" s="33">
        <v>363.59400000000005</v>
      </c>
      <c r="AA49" s="33">
        <v>363.59400000000005</v>
      </c>
      <c r="AB49" s="33">
        <v>363.59400000000005</v>
      </c>
      <c r="AC49" s="33">
        <v>363.59400000000005</v>
      </c>
    </row>
    <row r="50" spans="2:29" x14ac:dyDescent="0.35">
      <c r="B50" t="s">
        <v>87</v>
      </c>
      <c r="C50" s="7" t="s">
        <v>52</v>
      </c>
      <c r="D50" t="s">
        <v>136</v>
      </c>
      <c r="E50" s="30">
        <v>390.32400000000001</v>
      </c>
      <c r="F50" s="30">
        <v>390.32400000000001</v>
      </c>
      <c r="G50" s="30">
        <v>390.32400000000001</v>
      </c>
      <c r="H50" s="30">
        <v>438.97920000000005</v>
      </c>
      <c r="I50" s="30">
        <v>419.248144768298</v>
      </c>
      <c r="J50" s="30">
        <v>411.95811765556323</v>
      </c>
      <c r="K50" s="30">
        <v>406.64095594153213</v>
      </c>
      <c r="L50" s="30">
        <v>415.99963235511865</v>
      </c>
      <c r="M50" s="30">
        <v>420.01902006317869</v>
      </c>
      <c r="N50" s="30">
        <v>412.95349331645883</v>
      </c>
      <c r="O50" s="30">
        <v>413.78324261714243</v>
      </c>
      <c r="P50" s="30">
        <v>417.91991253260034</v>
      </c>
      <c r="Q50" s="30">
        <v>424.76900640302665</v>
      </c>
      <c r="R50" s="30">
        <v>422.18375403566483</v>
      </c>
      <c r="S50" s="30">
        <v>414.13822079084963</v>
      </c>
      <c r="T50" s="30">
        <v>419.90248517712621</v>
      </c>
      <c r="U50" s="30">
        <v>420.92134683617718</v>
      </c>
      <c r="V50" s="30">
        <v>406.40417127059192</v>
      </c>
      <c r="W50" s="30">
        <v>407.87803623620312</v>
      </c>
      <c r="X50" s="30">
        <v>418.06220310629527</v>
      </c>
      <c r="Y50" s="30">
        <v>430.50412701640926</v>
      </c>
      <c r="Z50" s="30">
        <v>475.61448632390187</v>
      </c>
      <c r="AA50" s="30">
        <v>491.7036490570901</v>
      </c>
      <c r="AB50" s="185">
        <v>491.7036490570901</v>
      </c>
      <c r="AC50" s="185">
        <v>491.7036490570901</v>
      </c>
    </row>
    <row r="51" spans="2:29" x14ac:dyDescent="0.35">
      <c r="B51" t="s">
        <v>88</v>
      </c>
      <c r="C51" s="7" t="s">
        <v>52</v>
      </c>
      <c r="D51" s="7"/>
      <c r="E51" s="33">
        <v>374.40000000000003</v>
      </c>
      <c r="F51" s="33">
        <v>374.40000000000003</v>
      </c>
      <c r="G51" s="33">
        <v>374.40000000000003</v>
      </c>
      <c r="H51" s="33">
        <v>374.40000000000003</v>
      </c>
      <c r="I51" s="33">
        <v>374.40000000000003</v>
      </c>
      <c r="J51" s="33">
        <v>374.40000000000003</v>
      </c>
      <c r="K51" s="33">
        <v>374.40000000000003</v>
      </c>
      <c r="L51" s="33">
        <v>374.40000000000003</v>
      </c>
      <c r="M51" s="33">
        <v>374.40000000000003</v>
      </c>
      <c r="N51" s="33">
        <v>374.40000000000003</v>
      </c>
      <c r="O51" s="33">
        <v>374.40000000000003</v>
      </c>
      <c r="P51" s="33">
        <v>374.40000000000003</v>
      </c>
      <c r="Q51" s="33">
        <v>374.40000000000003</v>
      </c>
      <c r="R51" s="33">
        <v>374.40000000000003</v>
      </c>
      <c r="S51" s="33">
        <v>374.40000000000003</v>
      </c>
      <c r="T51" s="33">
        <v>374.40000000000003</v>
      </c>
      <c r="U51" s="33">
        <v>374.40000000000003</v>
      </c>
      <c r="V51" s="33">
        <v>374.40000000000003</v>
      </c>
      <c r="W51" s="33">
        <v>374.40000000000003</v>
      </c>
      <c r="X51" s="33">
        <v>374.40000000000003</v>
      </c>
      <c r="Y51" s="33">
        <v>374.40000000000003</v>
      </c>
      <c r="Z51" s="33">
        <v>374.40000000000003</v>
      </c>
      <c r="AA51" s="33">
        <v>374.40000000000003</v>
      </c>
      <c r="AB51" s="33">
        <v>374.40000000000003</v>
      </c>
      <c r="AC51" s="33">
        <v>374.40000000000003</v>
      </c>
    </row>
    <row r="52" spans="2:29" x14ac:dyDescent="0.35">
      <c r="B52" t="s">
        <v>89</v>
      </c>
      <c r="C52" s="7" t="s">
        <v>52</v>
      </c>
      <c r="D52" s="7"/>
      <c r="E52" s="33">
        <v>355.89600000000002</v>
      </c>
      <c r="F52" s="33">
        <v>355.89600000000002</v>
      </c>
      <c r="G52" s="33">
        <v>355.89600000000002</v>
      </c>
      <c r="H52" s="33">
        <v>355.89600000000002</v>
      </c>
      <c r="I52" s="33">
        <v>355.89600000000002</v>
      </c>
      <c r="J52" s="33">
        <v>355.89600000000002</v>
      </c>
      <c r="K52" s="33">
        <v>355.89600000000002</v>
      </c>
      <c r="L52" s="33">
        <v>355.89600000000002</v>
      </c>
      <c r="M52" s="33">
        <v>355.89600000000002</v>
      </c>
      <c r="N52" s="33">
        <v>355.89600000000002</v>
      </c>
      <c r="O52" s="33">
        <v>355.89600000000002</v>
      </c>
      <c r="P52" s="33">
        <v>355.89600000000002</v>
      </c>
      <c r="Q52" s="33">
        <v>355.89600000000002</v>
      </c>
      <c r="R52" s="33">
        <v>355.89600000000002</v>
      </c>
      <c r="S52" s="33">
        <v>355.89600000000002</v>
      </c>
      <c r="T52" s="33">
        <v>355.89600000000002</v>
      </c>
      <c r="U52" s="33">
        <v>355.89600000000002</v>
      </c>
      <c r="V52" s="33">
        <v>355.89600000000002</v>
      </c>
      <c r="W52" s="33">
        <v>355.89600000000002</v>
      </c>
      <c r="X52" s="33">
        <v>355.89600000000002</v>
      </c>
      <c r="Y52" s="33">
        <v>355.89600000000002</v>
      </c>
      <c r="Z52" s="33">
        <v>355.89600000000002</v>
      </c>
      <c r="AA52" s="33">
        <v>355.89600000000002</v>
      </c>
      <c r="AB52" s="33">
        <v>355.89600000000002</v>
      </c>
      <c r="AC52" s="33">
        <v>355.89600000000002</v>
      </c>
    </row>
    <row r="54" spans="2:29" x14ac:dyDescent="0.35">
      <c r="B54" s="162" t="s">
        <v>90</v>
      </c>
    </row>
    <row r="55" spans="2:29" x14ac:dyDescent="0.35">
      <c r="B55" t="s">
        <v>91</v>
      </c>
      <c r="C55" s="7" t="s">
        <v>52</v>
      </c>
      <c r="E55" s="33" t="s">
        <v>58</v>
      </c>
      <c r="F55" s="33" t="s">
        <v>58</v>
      </c>
      <c r="G55" s="33" t="s">
        <v>58</v>
      </c>
      <c r="H55" s="33" t="s">
        <v>58</v>
      </c>
      <c r="I55" s="33" t="s">
        <v>58</v>
      </c>
      <c r="J55" s="33" t="s">
        <v>58</v>
      </c>
      <c r="K55" s="33" t="s">
        <v>58</v>
      </c>
      <c r="L55" s="33" t="s">
        <v>58</v>
      </c>
      <c r="M55" s="33" t="s">
        <v>58</v>
      </c>
      <c r="N55" s="33" t="s">
        <v>58</v>
      </c>
      <c r="O55" s="33" t="s">
        <v>58</v>
      </c>
      <c r="P55" s="33" t="s">
        <v>58</v>
      </c>
      <c r="Q55" s="33" t="s">
        <v>58</v>
      </c>
      <c r="R55" s="33" t="s">
        <v>58</v>
      </c>
      <c r="S55" s="33" t="s">
        <v>58</v>
      </c>
      <c r="T55" s="33" t="s">
        <v>58</v>
      </c>
      <c r="U55" s="33" t="s">
        <v>58</v>
      </c>
      <c r="V55" s="33" t="s">
        <v>58</v>
      </c>
      <c r="W55" s="33" t="s">
        <v>58</v>
      </c>
      <c r="X55" s="33" t="s">
        <v>58</v>
      </c>
      <c r="Y55" s="33" t="s">
        <v>58</v>
      </c>
      <c r="Z55" s="33" t="s">
        <v>58</v>
      </c>
      <c r="AA55" s="33" t="s">
        <v>58</v>
      </c>
      <c r="AB55" s="33" t="s">
        <v>58</v>
      </c>
      <c r="AC55" s="33" t="s">
        <v>58</v>
      </c>
    </row>
    <row r="56" spans="2:29" x14ac:dyDescent="0.35">
      <c r="B56" t="s">
        <v>92</v>
      </c>
      <c r="C56" s="7" t="s">
        <v>52</v>
      </c>
      <c r="D56" t="s">
        <v>93</v>
      </c>
      <c r="E56" s="33" t="s">
        <v>58</v>
      </c>
      <c r="F56" s="33" t="s">
        <v>58</v>
      </c>
      <c r="G56" s="33" t="s">
        <v>58</v>
      </c>
      <c r="H56" s="33" t="s">
        <v>58</v>
      </c>
      <c r="I56" s="33" t="s">
        <v>58</v>
      </c>
      <c r="J56" s="33" t="s">
        <v>58</v>
      </c>
      <c r="K56" s="33" t="s">
        <v>58</v>
      </c>
      <c r="L56" s="33" t="s">
        <v>58</v>
      </c>
      <c r="M56" s="33" t="s">
        <v>58</v>
      </c>
      <c r="N56" s="33" t="s">
        <v>58</v>
      </c>
      <c r="O56" s="33" t="s">
        <v>58</v>
      </c>
      <c r="P56" s="33" t="s">
        <v>58</v>
      </c>
      <c r="Q56" s="33" t="s">
        <v>58</v>
      </c>
      <c r="R56" s="33" t="s">
        <v>58</v>
      </c>
      <c r="S56" s="33" t="s">
        <v>58</v>
      </c>
      <c r="T56" s="33" t="s">
        <v>58</v>
      </c>
      <c r="U56" s="33" t="s">
        <v>58</v>
      </c>
      <c r="V56" s="33" t="s">
        <v>58</v>
      </c>
      <c r="W56" s="33" t="s">
        <v>58</v>
      </c>
      <c r="X56" s="33" t="s">
        <v>58</v>
      </c>
      <c r="Y56" s="33" t="s">
        <v>58</v>
      </c>
      <c r="Z56" s="33" t="s">
        <v>58</v>
      </c>
      <c r="AA56" s="33" t="s">
        <v>58</v>
      </c>
      <c r="AB56" s="33" t="s">
        <v>58</v>
      </c>
      <c r="AC56" s="33" t="s">
        <v>58</v>
      </c>
    </row>
    <row r="59" spans="2:29" ht="15" thickBot="1" x14ac:dyDescent="0.4">
      <c r="B59" s="12" t="s">
        <v>94</v>
      </c>
      <c r="C59" s="12" t="s">
        <v>108</v>
      </c>
      <c r="D59" s="12" t="s">
        <v>47</v>
      </c>
      <c r="E59" s="12">
        <v>2001</v>
      </c>
      <c r="F59" s="12">
        <f>E59+1</f>
        <v>2002</v>
      </c>
      <c r="G59" s="12">
        <f t="shared" ref="G59" si="21">F59+1</f>
        <v>2003</v>
      </c>
      <c r="H59" s="12">
        <f t="shared" ref="H59" si="22">G59+1</f>
        <v>2004</v>
      </c>
      <c r="I59" s="12">
        <f t="shared" ref="I59" si="23">H59+1</f>
        <v>2005</v>
      </c>
      <c r="J59" s="12">
        <f t="shared" ref="J59" si="24">I59+1</f>
        <v>2006</v>
      </c>
      <c r="K59" s="12">
        <f t="shared" ref="K59" si="25">J59+1</f>
        <v>2007</v>
      </c>
      <c r="L59" s="12">
        <f t="shared" ref="L59" si="26">K59+1</f>
        <v>2008</v>
      </c>
      <c r="M59" s="12">
        <f t="shared" ref="M59" si="27">L59+1</f>
        <v>2009</v>
      </c>
      <c r="N59" s="12">
        <f t="shared" ref="N59" si="28">M59+1</f>
        <v>2010</v>
      </c>
      <c r="O59" s="12">
        <f t="shared" ref="O59" si="29">N59+1</f>
        <v>2011</v>
      </c>
      <c r="P59" s="12">
        <f t="shared" ref="P59" si="30">O59+1</f>
        <v>2012</v>
      </c>
      <c r="Q59" s="12">
        <f t="shared" ref="Q59" si="31">P59+1</f>
        <v>2013</v>
      </c>
      <c r="R59" s="12">
        <f t="shared" ref="R59" si="32">Q59+1</f>
        <v>2014</v>
      </c>
      <c r="S59" s="12">
        <f t="shared" ref="S59" si="33">R59+1</f>
        <v>2015</v>
      </c>
      <c r="T59" s="12">
        <f t="shared" ref="T59" si="34">S59+1</f>
        <v>2016</v>
      </c>
      <c r="U59" s="12">
        <f t="shared" ref="U59" si="35">T59+1</f>
        <v>2017</v>
      </c>
      <c r="V59" s="12">
        <f t="shared" ref="V59" si="36">U59+1</f>
        <v>2018</v>
      </c>
      <c r="W59" s="12">
        <f t="shared" ref="W59" si="37">V59+1</f>
        <v>2019</v>
      </c>
      <c r="X59" s="12">
        <f t="shared" ref="X59" si="38">W59+1</f>
        <v>2020</v>
      </c>
      <c r="Y59" s="12">
        <f t="shared" ref="Y59" si="39">X59+1</f>
        <v>2021</v>
      </c>
      <c r="Z59" s="12">
        <f t="shared" ref="Z59:AC59" si="40">Y59+1</f>
        <v>2022</v>
      </c>
      <c r="AA59" s="12">
        <f t="shared" si="40"/>
        <v>2023</v>
      </c>
      <c r="AB59" s="12">
        <f t="shared" si="40"/>
        <v>2024</v>
      </c>
      <c r="AC59" s="12">
        <f t="shared" si="40"/>
        <v>2025</v>
      </c>
    </row>
    <row r="60" spans="2:29" x14ac:dyDescent="0.35">
      <c r="B60" t="s">
        <v>97</v>
      </c>
      <c r="C60" s="7" t="s">
        <v>52</v>
      </c>
      <c r="D60" s="7"/>
      <c r="E60" s="29">
        <f t="shared" ref="E60:Y60" si="41">E61*0.902</f>
        <v>185.69193240883672</v>
      </c>
      <c r="F60" s="29">
        <f t="shared" si="41"/>
        <v>185.03662187339887</v>
      </c>
      <c r="G60" s="29">
        <f t="shared" si="41"/>
        <v>184.62639446298991</v>
      </c>
      <c r="H60" s="29">
        <f t="shared" si="41"/>
        <v>184.35133338904885</v>
      </c>
      <c r="I60" s="29">
        <f t="shared" si="41"/>
        <v>184.40852002146184</v>
      </c>
      <c r="J60" s="29">
        <f t="shared" si="41"/>
        <v>184.510922391121</v>
      </c>
      <c r="K60" s="29">
        <f t="shared" si="41"/>
        <v>184.98927501897614</v>
      </c>
      <c r="L60" s="29">
        <f t="shared" si="41"/>
        <v>184.67090133591856</v>
      </c>
      <c r="M60" s="29">
        <f t="shared" si="41"/>
        <v>185.21019712564774</v>
      </c>
      <c r="N60" s="29">
        <f t="shared" si="41"/>
        <v>185.4730058040636</v>
      </c>
      <c r="O60" s="29">
        <f t="shared" si="41"/>
        <v>185.23749225480813</v>
      </c>
      <c r="P60" s="29">
        <f t="shared" si="41"/>
        <v>184.66115236942741</v>
      </c>
      <c r="Q60" s="29">
        <f t="shared" si="41"/>
        <v>181.94049318488928</v>
      </c>
      <c r="R60" s="29">
        <f t="shared" si="41"/>
        <v>184.16225015682178</v>
      </c>
      <c r="S60" s="29">
        <f t="shared" si="41"/>
        <v>184.80038308562081</v>
      </c>
      <c r="T60" s="29">
        <f t="shared" si="41"/>
        <v>181.35390892352868</v>
      </c>
      <c r="U60" s="29">
        <f t="shared" si="41"/>
        <v>180.993377095385</v>
      </c>
      <c r="V60" s="29">
        <f t="shared" si="41"/>
        <v>181.17169933425794</v>
      </c>
      <c r="W60" s="29">
        <f t="shared" si="41"/>
        <v>181.96089422166762</v>
      </c>
      <c r="X60" s="29">
        <f t="shared" si="41"/>
        <v>182.41647067042132</v>
      </c>
      <c r="Y60" s="29">
        <f t="shared" si="41"/>
        <v>183.00297327557797</v>
      </c>
      <c r="Z60" s="29">
        <f>Z61*0.902</f>
        <v>183.79935298772585</v>
      </c>
      <c r="AA60" s="29">
        <f>AA61*0.902</f>
        <v>183.85679450768842</v>
      </c>
      <c r="AB60" s="29">
        <f>AB61*0.902</f>
        <v>183.54098419180471</v>
      </c>
      <c r="AC60" s="29">
        <f>AC61*0.902</f>
        <v>183.54098419180471</v>
      </c>
    </row>
    <row r="61" spans="2:29" x14ac:dyDescent="0.35">
      <c r="B61" t="s">
        <v>98</v>
      </c>
      <c r="C61" s="7" t="s">
        <v>52</v>
      </c>
      <c r="D61" s="7"/>
      <c r="E61" s="30">
        <v>205.86688737121588</v>
      </c>
      <c r="F61" s="30">
        <v>205.14037901707192</v>
      </c>
      <c r="G61" s="30">
        <v>204.68558144455642</v>
      </c>
      <c r="H61" s="30">
        <v>204.38063568630693</v>
      </c>
      <c r="I61" s="30">
        <v>204.444035500512</v>
      </c>
      <c r="J61" s="30">
        <v>204.55756362651994</v>
      </c>
      <c r="K61" s="30">
        <v>205.08788804764538</v>
      </c>
      <c r="L61" s="30">
        <v>204.7349238757412</v>
      </c>
      <c r="M61" s="30">
        <v>205.33281277787998</v>
      </c>
      <c r="N61" s="30">
        <v>205.62417494907274</v>
      </c>
      <c r="O61" s="30">
        <v>205.36307345322408</v>
      </c>
      <c r="P61" s="30">
        <v>204.72411570889957</v>
      </c>
      <c r="Q61" s="30">
        <v>201.70786384134067</v>
      </c>
      <c r="R61" s="30">
        <v>204.17100904303967</v>
      </c>
      <c r="S61" s="30">
        <v>204.87847348738447</v>
      </c>
      <c r="T61" s="30">
        <v>201.05754869570805</v>
      </c>
      <c r="U61" s="30">
        <v>200.65784600375278</v>
      </c>
      <c r="V61" s="30">
        <v>200.85554249917732</v>
      </c>
      <c r="W61" s="30">
        <v>201.73048139874459</v>
      </c>
      <c r="X61" s="30">
        <v>202.23555506698594</v>
      </c>
      <c r="Y61" s="30">
        <v>202.88577968467624</v>
      </c>
      <c r="Z61" s="30">
        <v>203.76868402186901</v>
      </c>
      <c r="AA61" s="30">
        <v>203.83236641650601</v>
      </c>
      <c r="AB61" s="30">
        <v>203.48224411508281</v>
      </c>
      <c r="AC61" s="30">
        <v>203.48224411508281</v>
      </c>
    </row>
    <row r="64" spans="2:29" ht="15" thickBot="1" x14ac:dyDescent="0.4">
      <c r="B64" s="12" t="s">
        <v>99</v>
      </c>
      <c r="C64" s="12" t="s">
        <v>108</v>
      </c>
      <c r="D64" s="12" t="s">
        <v>47</v>
      </c>
      <c r="E64" s="12">
        <v>2001</v>
      </c>
      <c r="F64" s="12">
        <f>E64+1</f>
        <v>2002</v>
      </c>
      <c r="G64" s="12">
        <f t="shared" ref="G64" si="42">F64+1</f>
        <v>2003</v>
      </c>
      <c r="H64" s="12">
        <f t="shared" ref="H64" si="43">G64+1</f>
        <v>2004</v>
      </c>
      <c r="I64" s="12">
        <f t="shared" ref="I64" si="44">H64+1</f>
        <v>2005</v>
      </c>
      <c r="J64" s="12">
        <f t="shared" ref="J64" si="45">I64+1</f>
        <v>2006</v>
      </c>
      <c r="K64" s="12">
        <f t="shared" ref="K64" si="46">J64+1</f>
        <v>2007</v>
      </c>
      <c r="L64" s="12">
        <f t="shared" ref="L64" si="47">K64+1</f>
        <v>2008</v>
      </c>
      <c r="M64" s="12">
        <f t="shared" ref="M64" si="48">L64+1</f>
        <v>2009</v>
      </c>
      <c r="N64" s="12">
        <f t="shared" ref="N64" si="49">M64+1</f>
        <v>2010</v>
      </c>
      <c r="O64" s="12">
        <f t="shared" ref="O64" si="50">N64+1</f>
        <v>2011</v>
      </c>
      <c r="P64" s="12">
        <f t="shared" ref="P64" si="51">O64+1</f>
        <v>2012</v>
      </c>
      <c r="Q64" s="12">
        <f t="shared" ref="Q64" si="52">P64+1</f>
        <v>2013</v>
      </c>
      <c r="R64" s="12">
        <f t="shared" ref="R64" si="53">Q64+1</f>
        <v>2014</v>
      </c>
      <c r="S64" s="12">
        <f t="shared" ref="S64" si="54">R64+1</f>
        <v>2015</v>
      </c>
      <c r="T64" s="12">
        <f t="shared" ref="T64" si="55">S64+1</f>
        <v>2016</v>
      </c>
      <c r="U64" s="12">
        <f t="shared" ref="U64" si="56">T64+1</f>
        <v>2017</v>
      </c>
      <c r="V64" s="12">
        <f t="shared" ref="V64" si="57">U64+1</f>
        <v>2018</v>
      </c>
      <c r="W64" s="12">
        <f t="shared" ref="W64" si="58">V64+1</f>
        <v>2019</v>
      </c>
      <c r="X64" s="12">
        <f t="shared" ref="X64" si="59">W64+1</f>
        <v>2020</v>
      </c>
      <c r="Y64" s="12">
        <f t="shared" ref="Y64" si="60">X64+1</f>
        <v>2021</v>
      </c>
      <c r="Z64" s="12">
        <f t="shared" ref="Z64:AC64" si="61">Y64+1</f>
        <v>2022</v>
      </c>
      <c r="AA64" s="12">
        <f t="shared" si="61"/>
        <v>2023</v>
      </c>
      <c r="AB64" s="12">
        <f t="shared" si="61"/>
        <v>2024</v>
      </c>
      <c r="AC64" s="12">
        <f t="shared" si="61"/>
        <v>2025</v>
      </c>
    </row>
    <row r="65" spans="2:29" ht="130.5" x14ac:dyDescent="0.35">
      <c r="B65" t="s">
        <v>100</v>
      </c>
      <c r="C65" s="7" t="s">
        <v>52</v>
      </c>
      <c r="D65" s="34" t="s">
        <v>143</v>
      </c>
      <c r="E65" s="28" cm="1">
        <f t="array" ref="E65">_xlfn._xlws.FILTER(GHG_elec[Electricity_AFC_gCO2_kWh],GHG_elec[Year]=E$64)</f>
        <v>808.93327200918657</v>
      </c>
      <c r="F65" s="28" cm="1">
        <f t="array" ref="F65">_xlfn._xlws.FILTER(GHG_elec[Electricity_AFC_gCO2_kWh],GHG_elec[Year]=F$64)</f>
        <v>746.56161977552949</v>
      </c>
      <c r="G65" s="28" cm="1">
        <f t="array" ref="G65">_xlfn._xlws.FILTER(GHG_elec[Electricity_AFC_gCO2_kWh],GHG_elec[Year]=G$64)</f>
        <v>679.14205664610176</v>
      </c>
      <c r="H65" s="28" cm="1">
        <f t="array" ref="H65">_xlfn._xlws.FILTER(GHG_elec[Electricity_AFC_gCO2_kWh],GHG_elec[Year]=H$64)</f>
        <v>643.51435571372849</v>
      </c>
      <c r="I65" s="28" cm="1">
        <f t="array" ref="I65">_xlfn._xlws.FILTER(GHG_elec[Electricity_AFC_gCO2_kWh],GHG_elec[Year]=I$64)</f>
        <v>638.55713404521327</v>
      </c>
      <c r="J65" s="28" cm="1">
        <f t="array" ref="J65">_xlfn._xlws.FILTER(GHG_elec[Electricity_AFC_gCO2_kWh],GHG_elec[Year]=J$64)</f>
        <v>598.73583097009714</v>
      </c>
      <c r="K65" s="28" cm="1">
        <f t="array" ref="K65">_xlfn._xlws.FILTER(GHG_elec[Electricity_AFC_gCO2_kWh],GHG_elec[Year]=K$64)</f>
        <v>562.68219050641358</v>
      </c>
      <c r="L65" s="28" cm="1">
        <f t="array" ref="L65">_xlfn._xlws.FILTER(GHG_elec[Electricity_AFC_gCO2_kWh],GHG_elec[Year]=L$64)</f>
        <v>549.05223441463556</v>
      </c>
      <c r="M65" s="28" cm="1">
        <f t="array" ref="M65">_xlfn._xlws.FILTER(GHG_elec[Electricity_AFC_gCO2_kWh],GHG_elec[Year]=M$64)</f>
        <v>525.0679804683466</v>
      </c>
      <c r="N65" s="28" cm="1">
        <f t="array" ref="N65">_xlfn._xlws.FILTER(GHG_elec[Electricity_AFC_gCO2_kWh],GHG_elec[Year]=N$64)</f>
        <v>530.31586085685888</v>
      </c>
      <c r="O65" s="28" cm="1">
        <f t="array" ref="O65">_xlfn._xlws.FILTER(GHG_elec[Electricity_AFC_gCO2_kWh],GHG_elec[Year]=O$64)</f>
        <v>489.35326746098445</v>
      </c>
      <c r="P65" s="28" cm="1">
        <f t="array" ref="P65">_xlfn._xlws.FILTER(GHG_elec[Electricity_AFC_gCO2_kWh],GHG_elec[Year]=P$64)</f>
        <v>532.28515372355002</v>
      </c>
      <c r="Q65" s="28" cm="1">
        <f t="array" ref="Q65">_xlfn._xlws.FILTER(GHG_elec[Electricity_AFC_gCO2_kWh],GHG_elec[Year]=Q$64)</f>
        <v>471.89500626361223</v>
      </c>
      <c r="R65" s="28" cm="1">
        <f t="array" ref="R65">_xlfn._xlws.FILTER(GHG_elec[Electricity_AFC_gCO2_kWh],GHG_elec[Year]=R$64)</f>
        <v>460.88621246744077</v>
      </c>
      <c r="S65" s="28" cm="1">
        <f t="array" ref="S65">_xlfn._xlws.FILTER(GHG_elec[Electricity_AFC_gCO2_kWh],GHG_elec[Year]=S$64)</f>
        <v>470.07597350708909</v>
      </c>
      <c r="T65" s="28" cm="1">
        <f t="array" ref="T65">_xlfn._xlws.FILTER(GHG_elec[Electricity_AFC_gCO2_kWh],GHG_elec[Year]=T$64)</f>
        <v>485.85123334164194</v>
      </c>
      <c r="U65" s="28" cm="1">
        <f t="array" ref="U65">_xlfn._xlws.FILTER(GHG_elec[Electricity_AFC_gCO2_kWh],GHG_elec[Year]=U$64)</f>
        <v>445.616079991189</v>
      </c>
      <c r="V65" s="28" cm="1">
        <f t="array" ref="V65">_xlfn._xlws.FILTER(GHG_elec[Electricity_AFC_gCO2_kWh],GHG_elec[Year]=V$64)</f>
        <v>384.28921820024948</v>
      </c>
      <c r="W65" s="28" cm="1">
        <f t="array" ref="W65">_xlfn._xlws.FILTER(GHG_elec[Electricity_AFC_gCO2_kWh],GHG_elec[Year]=W$64)</f>
        <v>332.12934073261715</v>
      </c>
      <c r="X65" s="28" cm="1">
        <f t="array" ref="X65">_xlfn._xlws.FILTER(GHG_elec[Electricity_AFC_gCO2_kWh],GHG_elec[Year]=X$64)</f>
        <v>307.68189727188837</v>
      </c>
      <c r="Y65" s="28" cm="1">
        <f t="array" ref="Y65">_xlfn._xlws.FILTER(GHG_elec[Electricity_AFC_gCO2_kWh],GHG_elec[Year]=Y$64)</f>
        <v>346.21931297735733</v>
      </c>
      <c r="Z65" s="28" cm="1">
        <f t="array" ref="Z65">_xlfn._xlws.FILTER(GHG_elec[Electricity_AFC_gCO2_kWh],GHG_elec[Year]=Z$64)</f>
        <v>330.57230956021959</v>
      </c>
      <c r="AA65" s="28" cm="1">
        <f t="array" ref="AA65">_xlfn._xlws.FILTER(GHG_elec[Electricity_AFC_gCO2_kWh],GHG_elec[Year]=AA$64)</f>
        <v>253.33095836629676</v>
      </c>
      <c r="AB65" s="28" cm="1">
        <f t="array" ref="AB65">_xlfn._xlws.FILTER(GHG_elec[Electricity_AFC_gCO2_kWh],GHG_elec[Year]=AB$64)</f>
        <v>223.98623231612348</v>
      </c>
      <c r="AC65" s="28" cm="1">
        <f t="array" ref="AC65">_xlfn._xlws.FILTER(GHG_elec[Electricity_AFC_gCO2_kWh],GHG_elec[Year]=AC$64)</f>
        <v>197.80338395877118</v>
      </c>
    </row>
    <row r="66" spans="2:29" ht="130.5" x14ac:dyDescent="0.35">
      <c r="B66" t="s">
        <v>101</v>
      </c>
      <c r="C66" s="7" t="s">
        <v>52</v>
      </c>
      <c r="D66" s="34" t="s">
        <v>142</v>
      </c>
      <c r="E66" s="28" cm="1">
        <f t="array" ref="E66">_xlfn._xlws.FILTER(GHG_elec[Gross_Electricity_Supply_gCO2_kWh],GHG_elec[Year]=E$64)</f>
        <v>694.3722265359396</v>
      </c>
      <c r="F66" s="28" cm="1">
        <f t="array" ref="F66">_xlfn._xlws.FILTER(GHG_elec[Gross_Electricity_Supply_gCO2_kWh],GHG_elec[Year]=F$64)</f>
        <v>640.8787364030095</v>
      </c>
      <c r="G66" s="28" cm="1">
        <f t="array" ref="G66">_xlfn._xlws.FILTER(GHG_elec[Gross_Electricity_Supply_gCO2_kWh],GHG_elec[Year]=G$64)</f>
        <v>586.01413696780355</v>
      </c>
      <c r="H66" s="28" cm="1">
        <f t="array" ref="H66">_xlfn._xlws.FILTER(GHG_elec[Gross_Electricity_Supply_gCO2_kWh],GHG_elec[Year]=H$64)</f>
        <v>557.62650360348334</v>
      </c>
      <c r="I66" s="28" cm="1">
        <f t="array" ref="I66">_xlfn._xlws.FILTER(GHG_elec[Gross_Electricity_Supply_gCO2_kWh],GHG_elec[Year]=I$64)</f>
        <v>556.36212357159059</v>
      </c>
      <c r="J66" s="28" cm="1">
        <f t="array" ref="J66">_xlfn._xlws.FILTER(GHG_elec[Gross_Electricity_Supply_gCO2_kWh],GHG_elec[Year]=J$64)</f>
        <v>519.45677941464714</v>
      </c>
      <c r="K66" s="28" cm="1">
        <f t="array" ref="K66">_xlfn._xlws.FILTER(GHG_elec[Gross_Electricity_Supply_gCO2_kWh],GHG_elec[Year]=K$64)</f>
        <v>490.17060362755541</v>
      </c>
      <c r="L66" s="28" cm="1">
        <f t="array" ref="L66">_xlfn._xlws.FILTER(GHG_elec[Gross_Electricity_Supply_gCO2_kWh],GHG_elec[Year]=L$64)</f>
        <v>478.75907150516036</v>
      </c>
      <c r="M66" s="28" cm="1">
        <f t="array" ref="M66">_xlfn._xlws.FILTER(GHG_elec[Gross_Electricity_Supply_gCO2_kWh],GHG_elec[Year]=M$64)</f>
        <v>457.65802938905421</v>
      </c>
      <c r="N66" s="28" cm="1">
        <f t="array" ref="N66">_xlfn._xlws.FILTER(GHG_elec[Gross_Electricity_Supply_gCO2_kWh],GHG_elec[Year]=N$64)</f>
        <v>468.55854258848393</v>
      </c>
      <c r="O66" s="28" cm="1">
        <f t="array" ref="O66">_xlfn._xlws.FILTER(GHG_elec[Gross_Electricity_Supply_gCO2_kWh],GHG_elec[Year]=O$64)</f>
        <v>435.52242741204356</v>
      </c>
      <c r="P66" s="28" cm="1">
        <f t="array" ref="P66">_xlfn._xlws.FILTER(GHG_elec[Gross_Electricity_Supply_gCO2_kWh],GHG_elec[Year]=P$64)</f>
        <v>469.76116337881149</v>
      </c>
      <c r="Q66" s="28" cm="1">
        <f t="array" ref="Q66">_xlfn._xlws.FILTER(GHG_elec[Gross_Electricity_Supply_gCO2_kWh],GHG_elec[Year]=Q$64)</f>
        <v>416.50536333784038</v>
      </c>
      <c r="R66" s="28" cm="1">
        <f t="array" ref="R66">_xlfn._xlws.FILTER(GHG_elec[Gross_Electricity_Supply_gCO2_kWh],GHG_elec[Year]=R$64)</f>
        <v>406.8820798915354</v>
      </c>
      <c r="S66" s="28" cm="1">
        <f t="array" ref="S66">_xlfn._xlws.FILTER(GHG_elec[Gross_Electricity_Supply_gCO2_kWh],GHG_elec[Year]=S$64)</f>
        <v>415.93485340673391</v>
      </c>
      <c r="T66" s="28" cm="1">
        <f t="array" ref="T66">_xlfn._xlws.FILTER(GHG_elec[Gross_Electricity_Supply_gCO2_kWh],GHG_elec[Year]=T$64)</f>
        <v>429.83515964400493</v>
      </c>
      <c r="U66" s="28" cm="1">
        <f t="array" ref="U66">_xlfn._xlws.FILTER(GHG_elec[Gross_Electricity_Supply_gCO2_kWh],GHG_elec[Year]=U$64)</f>
        <v>395.38715917702518</v>
      </c>
      <c r="V66" s="28" cm="1">
        <f t="array" ref="V66">_xlfn._xlws.FILTER(GHG_elec[Gross_Electricity_Supply_gCO2_kWh],GHG_elec[Year]=V$64)</f>
        <v>340.24509431469653</v>
      </c>
      <c r="W66" s="28" cm="1">
        <f t="array" ref="W66">_xlfn._xlws.FILTER(GHG_elec[Gross_Electricity_Supply_gCO2_kWh],GHG_elec[Year]=W$64)</f>
        <v>295.31068722625446</v>
      </c>
      <c r="X66" s="28" cm="1">
        <f t="array" ref="X66">_xlfn._xlws.FILTER(GHG_elec[Gross_Electricity_Supply_gCO2_kWh],GHG_elec[Year]=X$64)</f>
        <v>272.68814173226144</v>
      </c>
      <c r="Y66" s="28" cm="1">
        <f t="array" ref="Y66">_xlfn._xlws.FILTER(GHG_elec[Gross_Electricity_Supply_gCO2_kWh],GHG_elec[Year]=Y$64)</f>
        <v>307.186271828982</v>
      </c>
      <c r="Z66" s="28" cm="1">
        <f t="array" ref="Z66">_xlfn._xlws.FILTER(GHG_elec[Gross_Electricity_Supply_gCO2_kWh],GHG_elec[Year]=Z$64)</f>
        <v>294.36522429192217</v>
      </c>
      <c r="AA66" s="28" cm="1">
        <f t="array" ref="AA66">_xlfn._xlws.FILTER(GHG_elec[Gross_Electricity_Supply_gCO2_kWh],GHG_elec[Year]=AA$64)</f>
        <v>227.13781248595765</v>
      </c>
      <c r="AB66" s="28" cm="1">
        <f t="array" ref="AB66">_xlfn._xlws.FILTER(GHG_elec[Gross_Electricity_Supply_gCO2_kWh],GHG_elec[Year]=AB$64)</f>
        <v>201.86855930461263</v>
      </c>
      <c r="AC66" s="28" cm="1">
        <f t="array" ref="AC66">_xlfn._xlws.FILTER(GHG_elec[Gross_Electricity_Supply_gCO2_kWh],GHG_elec[Year]=AC$64)</f>
        <v>178.32767437971518</v>
      </c>
    </row>
    <row r="67" spans="2:29" x14ac:dyDescent="0.35">
      <c r="C67" s="7"/>
      <c r="D67" s="99"/>
    </row>
  </sheetData>
  <hyperlinks>
    <hyperlink ref="B9" r:id="rId1" xr:uid="{5BB6DB60-AB30-466E-88C1-96E0ECBB39D2}"/>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E35A-B959-4446-9A22-345187D68E40}">
  <dimension ref="B2:AC26"/>
  <sheetViews>
    <sheetView workbookViewId="0"/>
  </sheetViews>
  <sheetFormatPr defaultColWidth="9.1796875" defaultRowHeight="14.5" x14ac:dyDescent="0.35"/>
  <cols>
    <col min="2" max="2" width="30.453125" bestFit="1" customWidth="1"/>
    <col min="3" max="3" width="7.1796875" bestFit="1" customWidth="1"/>
    <col min="4" max="4" width="50.453125" bestFit="1" customWidth="1"/>
    <col min="5" max="29" width="8.1796875" customWidth="1"/>
  </cols>
  <sheetData>
    <row r="2" spans="2:29" ht="17.5" thickBot="1" x14ac:dyDescent="0.45">
      <c r="B2" s="10" t="s">
        <v>44</v>
      </c>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2:29" ht="15" thickTop="1" x14ac:dyDescent="0.35">
      <c r="B3" s="11"/>
      <c r="C3" s="11"/>
      <c r="D3" s="9"/>
      <c r="E3" s="9"/>
      <c r="F3" s="9"/>
      <c r="G3" s="9"/>
      <c r="H3" s="9"/>
      <c r="I3" s="9"/>
      <c r="J3" s="9"/>
      <c r="K3" s="9"/>
      <c r="L3" s="9"/>
      <c r="M3" s="9"/>
      <c r="N3" s="9"/>
      <c r="O3" s="9"/>
      <c r="P3" s="9"/>
      <c r="Q3" s="9"/>
      <c r="R3" s="9"/>
      <c r="S3" s="9"/>
      <c r="T3" s="9"/>
      <c r="U3" s="9"/>
      <c r="V3" s="9"/>
      <c r="W3" s="9"/>
      <c r="X3" s="9"/>
      <c r="Y3" s="9"/>
      <c r="Z3" s="9"/>
      <c r="AA3" s="9"/>
      <c r="AB3" s="9"/>
      <c r="AC3" s="9"/>
    </row>
    <row r="5" spans="2:29" ht="15" thickBot="1" x14ac:dyDescent="0.4">
      <c r="B5" s="31" t="s">
        <v>41</v>
      </c>
      <c r="C5" s="31" t="s">
        <v>122</v>
      </c>
      <c r="D5" s="31" t="s">
        <v>47</v>
      </c>
      <c r="E5" s="12">
        <v>2001</v>
      </c>
      <c r="F5" s="12">
        <f>E5+1</f>
        <v>2002</v>
      </c>
      <c r="G5" s="12">
        <f t="shared" ref="G5:AC5" si="0">F5+1</f>
        <v>2003</v>
      </c>
      <c r="H5" s="12">
        <f t="shared" si="0"/>
        <v>2004</v>
      </c>
      <c r="I5" s="12">
        <f t="shared" si="0"/>
        <v>2005</v>
      </c>
      <c r="J5" s="12">
        <f t="shared" si="0"/>
        <v>2006</v>
      </c>
      <c r="K5" s="12">
        <f t="shared" si="0"/>
        <v>2007</v>
      </c>
      <c r="L5" s="12">
        <f t="shared" si="0"/>
        <v>2008</v>
      </c>
      <c r="M5" s="12">
        <f t="shared" si="0"/>
        <v>2009</v>
      </c>
      <c r="N5" s="12">
        <f t="shared" si="0"/>
        <v>2010</v>
      </c>
      <c r="O5" s="12">
        <f t="shared" si="0"/>
        <v>2011</v>
      </c>
      <c r="P5" s="12">
        <f t="shared" si="0"/>
        <v>2012</v>
      </c>
      <c r="Q5" s="12">
        <f t="shared" si="0"/>
        <v>2013</v>
      </c>
      <c r="R5" s="12">
        <f t="shared" si="0"/>
        <v>2014</v>
      </c>
      <c r="S5" s="12">
        <f t="shared" si="0"/>
        <v>2015</v>
      </c>
      <c r="T5" s="12">
        <f t="shared" si="0"/>
        <v>2016</v>
      </c>
      <c r="U5" s="12">
        <f t="shared" si="0"/>
        <v>2017</v>
      </c>
      <c r="V5" s="12">
        <f t="shared" si="0"/>
        <v>2018</v>
      </c>
      <c r="W5" s="12">
        <f t="shared" si="0"/>
        <v>2019</v>
      </c>
      <c r="X5" s="12">
        <f t="shared" si="0"/>
        <v>2020</v>
      </c>
      <c r="Y5" s="12">
        <f t="shared" si="0"/>
        <v>2021</v>
      </c>
      <c r="Z5" s="12">
        <f t="shared" si="0"/>
        <v>2022</v>
      </c>
      <c r="AA5" s="12">
        <f t="shared" si="0"/>
        <v>2023</v>
      </c>
      <c r="AB5" s="12">
        <f t="shared" si="0"/>
        <v>2024</v>
      </c>
      <c r="AC5" s="12">
        <f t="shared" si="0"/>
        <v>2025</v>
      </c>
    </row>
    <row r="6" spans="2:29" x14ac:dyDescent="0.35">
      <c r="B6" s="42" t="s">
        <v>59</v>
      </c>
      <c r="C6" s="42"/>
      <c r="D6" s="8"/>
      <c r="E6" s="8"/>
    </row>
    <row r="7" spans="2:29" x14ac:dyDescent="0.35">
      <c r="B7" s="7" t="s">
        <v>60</v>
      </c>
      <c r="C7" s="7" t="s">
        <v>56</v>
      </c>
      <c r="E7" s="27">
        <f>10^6/1067</f>
        <v>937.20712277413304</v>
      </c>
      <c r="F7" s="27">
        <f t="shared" ref="F7:AC7" si="1">10^6/1067</f>
        <v>937.20712277413304</v>
      </c>
      <c r="G7" s="27">
        <f t="shared" si="1"/>
        <v>937.20712277413304</v>
      </c>
      <c r="H7" s="27">
        <f t="shared" si="1"/>
        <v>937.20712277413304</v>
      </c>
      <c r="I7" s="27">
        <f t="shared" si="1"/>
        <v>937.20712277413304</v>
      </c>
      <c r="J7" s="27">
        <f t="shared" si="1"/>
        <v>937.20712277413304</v>
      </c>
      <c r="K7" s="27">
        <f t="shared" si="1"/>
        <v>937.20712277413304</v>
      </c>
      <c r="L7" s="27">
        <f t="shared" si="1"/>
        <v>937.20712277413304</v>
      </c>
      <c r="M7" s="27">
        <f t="shared" si="1"/>
        <v>937.20712277413304</v>
      </c>
      <c r="N7" s="27">
        <f t="shared" si="1"/>
        <v>937.20712277413304</v>
      </c>
      <c r="O7" s="27">
        <f t="shared" si="1"/>
        <v>937.20712277413304</v>
      </c>
      <c r="P7" s="27">
        <f t="shared" si="1"/>
        <v>937.20712277413304</v>
      </c>
      <c r="Q7" s="27">
        <f t="shared" si="1"/>
        <v>937.20712277413304</v>
      </c>
      <c r="R7" s="27">
        <f t="shared" si="1"/>
        <v>937.20712277413304</v>
      </c>
      <c r="S7" s="27">
        <f t="shared" si="1"/>
        <v>937.20712277413304</v>
      </c>
      <c r="T7" s="27">
        <f t="shared" si="1"/>
        <v>937.20712277413304</v>
      </c>
      <c r="U7" s="27">
        <f t="shared" si="1"/>
        <v>937.20712277413304</v>
      </c>
      <c r="V7" s="27">
        <f t="shared" si="1"/>
        <v>937.20712277413304</v>
      </c>
      <c r="W7" s="27">
        <f t="shared" si="1"/>
        <v>937.20712277413304</v>
      </c>
      <c r="X7" s="27">
        <f t="shared" si="1"/>
        <v>937.20712277413304</v>
      </c>
      <c r="Y7" s="27">
        <f t="shared" si="1"/>
        <v>937.20712277413304</v>
      </c>
      <c r="Z7" s="27">
        <f t="shared" si="1"/>
        <v>937.20712277413304</v>
      </c>
      <c r="AA7" s="27">
        <f t="shared" si="1"/>
        <v>937.20712277413304</v>
      </c>
      <c r="AB7" s="27">
        <f t="shared" si="1"/>
        <v>937.20712277413304</v>
      </c>
      <c r="AC7" s="27">
        <f t="shared" si="1"/>
        <v>937.20712277413304</v>
      </c>
    </row>
    <row r="8" spans="2:29" x14ac:dyDescent="0.35">
      <c r="B8" s="7" t="s">
        <v>61</v>
      </c>
      <c r="C8" s="7" t="s">
        <v>56</v>
      </c>
      <c r="E8" s="173">
        <v>755</v>
      </c>
      <c r="F8" s="173">
        <v>755</v>
      </c>
      <c r="G8" s="173">
        <v>755</v>
      </c>
      <c r="H8" s="173">
        <v>755</v>
      </c>
      <c r="I8" s="173">
        <v>740.74074074074065</v>
      </c>
      <c r="J8" s="173">
        <v>740.74074074074065</v>
      </c>
      <c r="K8" s="173">
        <v>740.74074074074065</v>
      </c>
      <c r="L8" s="173">
        <v>740.74074074074065</v>
      </c>
      <c r="M8" s="173">
        <v>740.74074074074065</v>
      </c>
      <c r="N8" s="173">
        <v>740.74074074074065</v>
      </c>
      <c r="O8" s="173">
        <v>740.74074074074065</v>
      </c>
      <c r="P8" s="173">
        <v>740.74074074074065</v>
      </c>
      <c r="Q8" s="173">
        <v>740.74074074074065</v>
      </c>
      <c r="R8" s="173">
        <v>740.74074074074065</v>
      </c>
      <c r="S8" s="173">
        <v>740.74074074074065</v>
      </c>
      <c r="T8" s="173">
        <v>740.74074074074065</v>
      </c>
      <c r="U8" s="173">
        <v>740.74074074074065</v>
      </c>
      <c r="V8" s="173">
        <v>740.74074074074065</v>
      </c>
      <c r="W8" s="173">
        <v>740.74074074074065</v>
      </c>
      <c r="X8" s="173">
        <v>740.74074074074065</v>
      </c>
      <c r="Y8" s="173">
        <v>740.74074074074065</v>
      </c>
      <c r="Z8" s="173">
        <v>740.74074074074065</v>
      </c>
      <c r="AA8" s="173">
        <v>740.74074074074065</v>
      </c>
      <c r="AB8" s="173">
        <v>740.74074074074065</v>
      </c>
      <c r="AC8" s="173">
        <v>740.74074074074065</v>
      </c>
    </row>
    <row r="9" spans="2:29" x14ac:dyDescent="0.35">
      <c r="B9" s="7" t="s">
        <v>62</v>
      </c>
      <c r="C9" s="7" t="s">
        <v>56</v>
      </c>
      <c r="E9" s="173">
        <v>800</v>
      </c>
      <c r="F9" s="173">
        <v>800</v>
      </c>
      <c r="G9" s="173">
        <v>800</v>
      </c>
      <c r="H9" s="173">
        <v>800</v>
      </c>
      <c r="I9" s="173">
        <v>800</v>
      </c>
      <c r="J9" s="173">
        <v>800</v>
      </c>
      <c r="K9" s="173">
        <v>800</v>
      </c>
      <c r="L9" s="173">
        <v>800</v>
      </c>
      <c r="M9" s="173">
        <v>800</v>
      </c>
      <c r="N9" s="173">
        <v>800</v>
      </c>
      <c r="O9" s="173">
        <v>800</v>
      </c>
      <c r="P9" s="173">
        <v>800</v>
      </c>
      <c r="Q9" s="173">
        <v>800</v>
      </c>
      <c r="R9" s="173">
        <v>800</v>
      </c>
      <c r="S9" s="173">
        <v>800</v>
      </c>
      <c r="T9" s="173">
        <v>800</v>
      </c>
      <c r="U9" s="173">
        <v>800</v>
      </c>
      <c r="V9" s="173">
        <v>800</v>
      </c>
      <c r="W9" s="173">
        <v>800</v>
      </c>
      <c r="X9" s="173">
        <v>800</v>
      </c>
      <c r="Y9" s="173">
        <v>800</v>
      </c>
      <c r="Z9" s="173">
        <v>800</v>
      </c>
      <c r="AA9" s="173">
        <v>800</v>
      </c>
      <c r="AB9" s="173">
        <v>800</v>
      </c>
      <c r="AC9" s="173">
        <v>800</v>
      </c>
    </row>
    <row r="10" spans="2:29" x14ac:dyDescent="0.35">
      <c r="B10" t="s">
        <v>63</v>
      </c>
      <c r="C10" s="7" t="s">
        <v>56</v>
      </c>
      <c r="E10" s="173">
        <v>800</v>
      </c>
      <c r="F10" s="173">
        <v>800</v>
      </c>
      <c r="G10" s="173">
        <v>800</v>
      </c>
      <c r="H10" s="173">
        <v>800</v>
      </c>
      <c r="I10" s="173">
        <v>800</v>
      </c>
      <c r="J10" s="173">
        <v>800</v>
      </c>
      <c r="K10" s="173">
        <v>800</v>
      </c>
      <c r="L10" s="173">
        <v>800</v>
      </c>
      <c r="M10" s="173">
        <v>800</v>
      </c>
      <c r="N10" s="173">
        <v>800</v>
      </c>
      <c r="O10" s="173">
        <v>800</v>
      </c>
      <c r="P10" s="173">
        <v>800</v>
      </c>
      <c r="Q10" s="173">
        <v>800</v>
      </c>
      <c r="R10" s="173">
        <v>800</v>
      </c>
      <c r="S10" s="173">
        <v>800</v>
      </c>
      <c r="T10" s="173">
        <v>800</v>
      </c>
      <c r="U10" s="173">
        <v>800</v>
      </c>
      <c r="V10" s="173">
        <v>800</v>
      </c>
      <c r="W10" s="173">
        <v>800</v>
      </c>
      <c r="X10" s="173">
        <v>800</v>
      </c>
      <c r="Y10" s="173">
        <v>800</v>
      </c>
      <c r="Z10" s="173">
        <v>800</v>
      </c>
      <c r="AA10" s="173">
        <v>800</v>
      </c>
      <c r="AB10" s="173">
        <v>800</v>
      </c>
      <c r="AC10" s="173">
        <v>800</v>
      </c>
    </row>
    <row r="11" spans="2:29" x14ac:dyDescent="0.35">
      <c r="B11" s="7" t="s">
        <v>64</v>
      </c>
      <c r="C11" s="7" t="s">
        <v>56</v>
      </c>
      <c r="E11" s="173">
        <v>845</v>
      </c>
      <c r="F11" s="173">
        <v>845</v>
      </c>
      <c r="G11" s="173">
        <v>845</v>
      </c>
      <c r="H11" s="173">
        <v>845</v>
      </c>
      <c r="I11" s="173">
        <v>845</v>
      </c>
      <c r="J11" s="173">
        <v>845</v>
      </c>
      <c r="K11" s="173">
        <v>845</v>
      </c>
      <c r="L11" s="173">
        <v>845</v>
      </c>
      <c r="M11" s="173">
        <v>845</v>
      </c>
      <c r="N11" s="173">
        <v>845</v>
      </c>
      <c r="O11" s="173">
        <v>845</v>
      </c>
      <c r="P11" s="173">
        <v>845</v>
      </c>
      <c r="Q11" s="173">
        <v>845</v>
      </c>
      <c r="R11" s="173">
        <v>845</v>
      </c>
      <c r="S11" s="173">
        <v>845</v>
      </c>
      <c r="T11" s="173">
        <v>845</v>
      </c>
      <c r="U11" s="173">
        <v>845</v>
      </c>
      <c r="V11" s="173">
        <v>845</v>
      </c>
      <c r="W11" s="173">
        <v>845</v>
      </c>
      <c r="X11" s="173">
        <v>845</v>
      </c>
      <c r="Y11" s="173">
        <v>845</v>
      </c>
      <c r="Z11" s="173">
        <v>845</v>
      </c>
      <c r="AA11" s="173">
        <v>845</v>
      </c>
      <c r="AB11" s="173">
        <v>845</v>
      </c>
      <c r="AC11" s="173">
        <v>845</v>
      </c>
    </row>
    <row r="12" spans="2:29" x14ac:dyDescent="0.35">
      <c r="B12" t="s">
        <v>65</v>
      </c>
      <c r="C12" s="7" t="s">
        <v>56</v>
      </c>
      <c r="E12" s="173">
        <v>941.61958568738225</v>
      </c>
      <c r="F12" s="173">
        <v>941.61958568738225</v>
      </c>
      <c r="G12" s="173">
        <v>941.61958568738225</v>
      </c>
      <c r="H12" s="173">
        <v>941.61958568738225</v>
      </c>
      <c r="I12" s="173">
        <v>941.61958568738225</v>
      </c>
      <c r="J12" s="173">
        <v>941.61958568738225</v>
      </c>
      <c r="K12" s="173">
        <v>941.61958568738225</v>
      </c>
      <c r="L12" s="173">
        <v>941.61958568738225</v>
      </c>
      <c r="M12" s="173">
        <v>941.61958568738225</v>
      </c>
      <c r="N12" s="173">
        <v>941.61958568738225</v>
      </c>
      <c r="O12" s="173">
        <v>941.61958568738225</v>
      </c>
      <c r="P12" s="173">
        <v>941.61958568738225</v>
      </c>
      <c r="Q12" s="173">
        <v>941.61958568738225</v>
      </c>
      <c r="R12" s="173">
        <v>941.61958568738225</v>
      </c>
      <c r="S12" s="173">
        <v>941.61958568738225</v>
      </c>
      <c r="T12" s="173">
        <v>941.61958568738225</v>
      </c>
      <c r="U12" s="173">
        <v>941.61958568738225</v>
      </c>
      <c r="V12" s="173">
        <v>941.61958568738225</v>
      </c>
      <c r="W12" s="173">
        <v>941.61958568738225</v>
      </c>
      <c r="X12" s="173">
        <v>941.61958568738225</v>
      </c>
      <c r="Y12" s="173">
        <v>941.61958568738225</v>
      </c>
      <c r="Z12" s="173">
        <v>941.61958568738225</v>
      </c>
      <c r="AA12" s="173">
        <v>941.61958568738225</v>
      </c>
      <c r="AB12" s="173">
        <v>941.61958568738225</v>
      </c>
      <c r="AC12" s="173">
        <v>941.61958568738225</v>
      </c>
    </row>
    <row r="13" spans="2:29" x14ac:dyDescent="0.35">
      <c r="B13" t="s">
        <v>66</v>
      </c>
      <c r="C13" s="7" t="s">
        <v>56</v>
      </c>
      <c r="D13" t="s">
        <v>67</v>
      </c>
      <c r="E13" s="173">
        <v>522.19321148825065</v>
      </c>
      <c r="F13" s="173">
        <v>522.19321148825065</v>
      </c>
      <c r="G13" s="173">
        <v>522.19321148825065</v>
      </c>
      <c r="H13" s="173">
        <v>522.19321148825065</v>
      </c>
      <c r="I13" s="173">
        <v>522.19321148825065</v>
      </c>
      <c r="J13" s="173">
        <v>522.19321148825065</v>
      </c>
      <c r="K13" s="173">
        <v>522.19321148825065</v>
      </c>
      <c r="L13" s="173">
        <v>522.19321148825065</v>
      </c>
      <c r="M13" s="173">
        <v>522.19321148825065</v>
      </c>
      <c r="N13" s="173">
        <v>522.19321148825065</v>
      </c>
      <c r="O13" s="173">
        <v>522.19321148825065</v>
      </c>
      <c r="P13" s="173">
        <v>522.19321148825065</v>
      </c>
      <c r="Q13" s="173">
        <v>522.19321148825065</v>
      </c>
      <c r="R13" s="173">
        <v>522.19321148825065</v>
      </c>
      <c r="S13" s="173">
        <v>522.19321148825065</v>
      </c>
      <c r="T13" s="173">
        <v>522.19321148825065</v>
      </c>
      <c r="U13" s="173">
        <v>522.19321148825065</v>
      </c>
      <c r="V13" s="173">
        <v>522.19321148825065</v>
      </c>
      <c r="W13" s="173">
        <v>522.19321148825065</v>
      </c>
      <c r="X13" s="173">
        <v>522.19321148825065</v>
      </c>
      <c r="Y13" s="173">
        <v>522.19321148825065</v>
      </c>
      <c r="Z13" s="173">
        <v>522.19321148825065</v>
      </c>
      <c r="AA13" s="173">
        <v>522.19321148825065</v>
      </c>
      <c r="AB13" s="173">
        <v>522.19321148825065</v>
      </c>
      <c r="AC13" s="173">
        <v>522.19321148825065</v>
      </c>
    </row>
    <row r="14" spans="2:29" x14ac:dyDescent="0.35">
      <c r="E14" s="98"/>
      <c r="F14" s="98"/>
      <c r="G14" s="98"/>
      <c r="H14" s="98"/>
      <c r="I14" s="98"/>
      <c r="J14" s="98"/>
      <c r="K14" s="98"/>
      <c r="L14" s="98"/>
      <c r="M14" s="98"/>
      <c r="N14" s="98"/>
      <c r="O14" s="98"/>
      <c r="P14" s="98"/>
      <c r="Q14" s="98"/>
      <c r="R14" s="98"/>
      <c r="S14" s="98"/>
      <c r="T14" s="98"/>
      <c r="U14" s="98"/>
      <c r="V14" s="98"/>
      <c r="W14" s="98"/>
      <c r="X14" s="98"/>
      <c r="Y14" s="98"/>
      <c r="Z14" s="98"/>
      <c r="AA14" s="98"/>
      <c r="AB14" s="98"/>
      <c r="AC14" s="98"/>
    </row>
    <row r="15" spans="2:29" x14ac:dyDescent="0.35">
      <c r="B15" s="42" t="s">
        <v>68</v>
      </c>
      <c r="C15" s="42"/>
      <c r="E15" s="98"/>
      <c r="F15" s="98"/>
      <c r="G15" s="98"/>
      <c r="H15" s="98"/>
      <c r="I15" s="98"/>
      <c r="J15" s="98"/>
      <c r="K15" s="98"/>
      <c r="L15" s="98"/>
      <c r="M15" s="98"/>
      <c r="N15" s="98"/>
      <c r="O15" s="98"/>
      <c r="P15" s="98"/>
      <c r="Q15" s="98"/>
      <c r="R15" s="98"/>
      <c r="S15" s="98"/>
      <c r="T15" s="98"/>
      <c r="U15" s="98"/>
      <c r="V15" s="98"/>
      <c r="W15" s="98"/>
      <c r="X15" s="98"/>
      <c r="Y15" s="98"/>
      <c r="Z15" s="98"/>
      <c r="AA15" s="98"/>
      <c r="AB15" s="98"/>
      <c r="AC15" s="98"/>
    </row>
    <row r="16" spans="2:29" x14ac:dyDescent="0.35">
      <c r="B16" t="s">
        <v>69</v>
      </c>
      <c r="C16" s="7" t="s">
        <v>56</v>
      </c>
      <c r="E16" s="27">
        <v>800</v>
      </c>
      <c r="F16" s="27">
        <v>800</v>
      </c>
      <c r="G16" s="27">
        <v>800</v>
      </c>
      <c r="H16" s="27">
        <v>800</v>
      </c>
      <c r="I16" s="27">
        <v>800</v>
      </c>
      <c r="J16" s="27">
        <v>800</v>
      </c>
      <c r="K16" s="27">
        <v>800</v>
      </c>
      <c r="L16" s="27">
        <v>800</v>
      </c>
      <c r="M16" s="27">
        <v>800</v>
      </c>
      <c r="N16" s="27">
        <v>800</v>
      </c>
      <c r="O16" s="27">
        <v>800</v>
      </c>
      <c r="P16" s="27">
        <v>800</v>
      </c>
      <c r="Q16" s="27">
        <v>800</v>
      </c>
      <c r="R16" s="27">
        <v>800</v>
      </c>
      <c r="S16" s="27">
        <v>800</v>
      </c>
      <c r="T16" s="27">
        <v>800</v>
      </c>
      <c r="U16" s="27">
        <v>800</v>
      </c>
      <c r="V16" s="27">
        <v>800</v>
      </c>
      <c r="W16" s="27">
        <v>800</v>
      </c>
      <c r="X16" s="27">
        <v>800</v>
      </c>
      <c r="Y16" s="27">
        <v>800</v>
      </c>
      <c r="Z16" s="27">
        <v>800</v>
      </c>
      <c r="AA16" s="27">
        <v>800</v>
      </c>
      <c r="AB16" s="27">
        <v>800</v>
      </c>
      <c r="AC16" s="27">
        <v>800</v>
      </c>
    </row>
    <row r="17" spans="2:29" x14ac:dyDescent="0.35">
      <c r="B17" t="s">
        <v>70</v>
      </c>
      <c r="C17" s="7" t="s">
        <v>56</v>
      </c>
      <c r="D17" t="s">
        <v>109</v>
      </c>
      <c r="E17" s="27">
        <v>880</v>
      </c>
      <c r="F17" s="27">
        <v>880</v>
      </c>
      <c r="G17" s="27">
        <v>880</v>
      </c>
      <c r="H17" s="27">
        <v>880</v>
      </c>
      <c r="I17" s="27">
        <v>880</v>
      </c>
      <c r="J17" s="27">
        <v>880</v>
      </c>
      <c r="K17" s="27">
        <v>880</v>
      </c>
      <c r="L17" s="27">
        <v>880</v>
      </c>
      <c r="M17" s="27">
        <v>880</v>
      </c>
      <c r="N17" s="27">
        <v>880</v>
      </c>
      <c r="O17" s="27">
        <v>880</v>
      </c>
      <c r="P17" s="27">
        <v>880</v>
      </c>
      <c r="Q17" s="27">
        <v>880</v>
      </c>
      <c r="R17" s="27">
        <v>880</v>
      </c>
      <c r="S17" s="27">
        <v>880</v>
      </c>
      <c r="T17" s="27">
        <v>880</v>
      </c>
      <c r="U17" s="27">
        <v>880</v>
      </c>
      <c r="V17" s="27">
        <v>880</v>
      </c>
      <c r="W17" s="27">
        <v>880</v>
      </c>
      <c r="X17" s="27">
        <v>880</v>
      </c>
      <c r="Y17" s="27">
        <v>880</v>
      </c>
      <c r="Z17" s="27">
        <v>880</v>
      </c>
      <c r="AA17" s="27">
        <v>880</v>
      </c>
      <c r="AB17" s="27">
        <v>880</v>
      </c>
      <c r="AC17" s="27">
        <v>880</v>
      </c>
    </row>
    <row r="18" spans="2:29" x14ac:dyDescent="0.35">
      <c r="B18" t="s">
        <v>72</v>
      </c>
      <c r="C18" s="7" t="s">
        <v>56</v>
      </c>
      <c r="D18" t="s">
        <v>73</v>
      </c>
      <c r="E18" s="176"/>
      <c r="F18" s="176"/>
      <c r="G18" s="176"/>
      <c r="H18" s="176"/>
      <c r="I18" s="176"/>
      <c r="J18" s="176"/>
      <c r="K18" s="176"/>
      <c r="L18" s="176"/>
      <c r="M18" s="176"/>
      <c r="N18" s="176"/>
      <c r="O18" s="176"/>
      <c r="P18" s="176"/>
      <c r="Q18" s="176"/>
      <c r="R18" s="27">
        <v>772.72727272727275</v>
      </c>
      <c r="S18" s="27">
        <v>772.72727272727275</v>
      </c>
      <c r="T18" s="27">
        <v>772.72727272727275</v>
      </c>
      <c r="U18" s="27">
        <v>772.72727272727275</v>
      </c>
      <c r="V18" s="27">
        <v>772.72727272727275</v>
      </c>
      <c r="W18" s="27">
        <v>772.72727272727275</v>
      </c>
      <c r="X18" s="27">
        <v>772.72727272727275</v>
      </c>
      <c r="Y18" s="27">
        <v>772.72727272727275</v>
      </c>
      <c r="Z18" s="27">
        <v>772.72727272727275</v>
      </c>
      <c r="AA18" s="27">
        <v>772.72727272727275</v>
      </c>
      <c r="AB18" s="27">
        <v>772.72727272727275</v>
      </c>
      <c r="AC18" s="27">
        <v>772.72727272727275</v>
      </c>
    </row>
    <row r="19" spans="2:29" x14ac:dyDescent="0.35">
      <c r="B19" t="s">
        <v>74</v>
      </c>
      <c r="C19" s="7" t="s">
        <v>56</v>
      </c>
      <c r="D19" t="s">
        <v>75</v>
      </c>
      <c r="E19" s="176"/>
      <c r="F19" s="176"/>
      <c r="G19" s="176"/>
      <c r="H19" s="176"/>
      <c r="I19" s="176"/>
      <c r="J19" s="176"/>
      <c r="K19" s="176"/>
      <c r="L19" s="176"/>
      <c r="M19" s="176"/>
      <c r="N19" s="176"/>
      <c r="O19" s="176"/>
      <c r="P19" s="176"/>
      <c r="Q19" s="176"/>
      <c r="R19" s="27">
        <v>837.20930232558146</v>
      </c>
      <c r="S19" s="27">
        <v>837.20930232558146</v>
      </c>
      <c r="T19" s="27">
        <v>837.20930232558146</v>
      </c>
      <c r="U19" s="27">
        <v>837.20930232558146</v>
      </c>
      <c r="V19" s="27">
        <v>837.20930232558146</v>
      </c>
      <c r="W19" s="27">
        <v>837.20930232558146</v>
      </c>
      <c r="X19" s="27">
        <v>837.20930232558146</v>
      </c>
      <c r="Y19" s="27">
        <v>837.20930232558146</v>
      </c>
      <c r="Z19" s="27">
        <v>837.20930232558146</v>
      </c>
      <c r="AA19" s="27">
        <v>837.20930232558146</v>
      </c>
      <c r="AB19" s="27">
        <v>837.20930232558146</v>
      </c>
      <c r="AC19" s="27">
        <v>837.20930232558146</v>
      </c>
    </row>
    <row r="20" spans="2:29" x14ac:dyDescent="0.35">
      <c r="B20" t="s">
        <v>76</v>
      </c>
      <c r="C20" s="7" t="s">
        <v>56</v>
      </c>
      <c r="E20" s="176"/>
      <c r="F20" s="176"/>
      <c r="G20" s="176"/>
      <c r="H20" s="176"/>
      <c r="I20" s="176"/>
      <c r="J20" s="176"/>
      <c r="K20" s="176"/>
      <c r="L20" s="176"/>
      <c r="M20" s="176"/>
      <c r="N20" s="176"/>
      <c r="O20" s="176"/>
      <c r="P20" s="176"/>
      <c r="Q20" s="176"/>
      <c r="R20" s="27">
        <v>521.73913043478262</v>
      </c>
      <c r="S20" s="27">
        <v>521.73913043478262</v>
      </c>
      <c r="T20" s="27">
        <v>521.73913043478262</v>
      </c>
      <c r="U20" s="27">
        <v>521.73913043478262</v>
      </c>
      <c r="V20" s="27">
        <v>521.73913043478262</v>
      </c>
      <c r="W20" s="27">
        <v>521.73913043478262</v>
      </c>
      <c r="X20" s="27">
        <v>521.73913043478262</v>
      </c>
      <c r="Y20" s="27">
        <v>521.73913043478262</v>
      </c>
      <c r="Z20" s="27">
        <v>521.73913043478262</v>
      </c>
      <c r="AA20" s="27">
        <v>521.73913043478262</v>
      </c>
      <c r="AB20" s="27">
        <v>521.73913043478262</v>
      </c>
      <c r="AC20" s="27">
        <v>521.73913043478262</v>
      </c>
    </row>
    <row r="21" spans="2:29" x14ac:dyDescent="0.35">
      <c r="B21" t="s">
        <v>77</v>
      </c>
      <c r="C21" s="7" t="s">
        <v>56</v>
      </c>
      <c r="D21" t="s">
        <v>110</v>
      </c>
      <c r="E21" s="176"/>
      <c r="F21" s="176"/>
      <c r="G21" s="176"/>
      <c r="H21" s="176"/>
      <c r="I21" s="176"/>
      <c r="J21" s="176"/>
      <c r="K21" s="176"/>
      <c r="L21" s="176"/>
      <c r="M21" s="176"/>
      <c r="N21" s="176"/>
      <c r="O21" s="176"/>
      <c r="P21" s="176"/>
      <c r="Q21" s="176"/>
      <c r="R21" s="27">
        <v>772.72727272727275</v>
      </c>
      <c r="S21" s="27">
        <v>772.72727272727275</v>
      </c>
      <c r="T21" s="27">
        <v>772.72727272727275</v>
      </c>
      <c r="U21" s="27">
        <v>772.72727272727275</v>
      </c>
      <c r="V21" s="27">
        <v>772.72727272727275</v>
      </c>
      <c r="W21" s="27">
        <v>772.72727272727275</v>
      </c>
      <c r="X21" s="27">
        <v>772.72727272727275</v>
      </c>
      <c r="Y21" s="27">
        <v>772.72727272727275</v>
      </c>
      <c r="Z21" s="27">
        <v>772.72727272727275</v>
      </c>
      <c r="AA21" s="27">
        <v>772.72727272727275</v>
      </c>
      <c r="AB21" s="27">
        <v>772.72727272727275</v>
      </c>
      <c r="AC21" s="27">
        <v>772.72727272727275</v>
      </c>
    </row>
    <row r="22" spans="2:29" x14ac:dyDescent="0.35">
      <c r="E22" s="98"/>
      <c r="F22" s="98"/>
      <c r="G22" s="98"/>
      <c r="H22" s="98"/>
      <c r="I22" s="98"/>
      <c r="J22" s="98"/>
      <c r="K22" s="98"/>
      <c r="L22" s="98"/>
      <c r="M22" s="98"/>
      <c r="N22" s="98"/>
      <c r="O22" s="98"/>
      <c r="P22" s="98"/>
      <c r="Q22" s="98"/>
      <c r="R22" s="98"/>
      <c r="S22" s="98"/>
      <c r="T22" s="98"/>
      <c r="U22" s="98"/>
      <c r="V22" s="98"/>
      <c r="W22" s="98"/>
      <c r="X22" s="98"/>
      <c r="Y22" s="98"/>
      <c r="Z22" s="98"/>
      <c r="AA22" s="98"/>
      <c r="AB22" s="98"/>
      <c r="AC22" s="98"/>
    </row>
    <row r="23" spans="2:29" x14ac:dyDescent="0.35">
      <c r="B23" s="42" t="s">
        <v>78</v>
      </c>
      <c r="C23" s="42"/>
      <c r="E23" s="98"/>
      <c r="F23" s="98"/>
      <c r="G23" s="98"/>
      <c r="H23" s="98"/>
      <c r="I23" s="98"/>
      <c r="J23" s="98"/>
      <c r="K23" s="98"/>
      <c r="L23" s="98"/>
      <c r="M23" s="98"/>
      <c r="N23" s="98"/>
      <c r="O23" s="98"/>
      <c r="P23" s="98"/>
      <c r="Q23" s="98"/>
      <c r="R23" s="98"/>
      <c r="S23" s="98"/>
      <c r="T23" s="98"/>
      <c r="U23" s="98"/>
      <c r="V23" s="98"/>
      <c r="W23" s="98"/>
      <c r="X23" s="98"/>
      <c r="Y23" s="98"/>
      <c r="Z23" s="98"/>
      <c r="AA23" s="98"/>
      <c r="AB23" s="98"/>
      <c r="AC23" s="98"/>
    </row>
    <row r="24" spans="2:29" x14ac:dyDescent="0.35">
      <c r="B24" t="s">
        <v>79</v>
      </c>
      <c r="C24" s="7" t="s">
        <v>56</v>
      </c>
      <c r="E24" s="28" cm="1">
        <f t="array" ref="E24">_xlfn._xlws.FILTER(road_diesel_blend[Blend_kg_l],road_diesel_blend[Year]=E$5)*1000</f>
        <v>845</v>
      </c>
      <c r="F24" s="28" cm="1">
        <f t="array" ref="F24">_xlfn._xlws.FILTER(road_diesel_blend[Blend_kg_l],road_diesel_blend[Year]=F$5)*1000</f>
        <v>845</v>
      </c>
      <c r="G24" s="28" cm="1">
        <f t="array" ref="G24">_xlfn._xlws.FILTER(road_diesel_blend[Blend_kg_l],road_diesel_blend[Year]=G$5)*1000</f>
        <v>845.00000000000011</v>
      </c>
      <c r="H24" s="28" cm="1">
        <f t="array" ref="H24">_xlfn._xlws.FILTER(road_diesel_blend[Blend_kg_l],road_diesel_blend[Year]=H$5)*1000</f>
        <v>845</v>
      </c>
      <c r="I24" s="28" cm="1">
        <f t="array" ref="I24">_xlfn._xlws.FILTER(road_diesel_blend[Blend_kg_l],road_diesel_blend[Year]=I$5)*1000</f>
        <v>845.02449304737843</v>
      </c>
      <c r="J24" s="28" cm="1">
        <f t="array" ref="J24">_xlfn._xlws.FILTER(road_diesel_blend[Blend_kg_l],road_diesel_blend[Year]=J$5)*1000</f>
        <v>845.05391688152008</v>
      </c>
      <c r="K24" s="28" cm="1">
        <f t="array" ref="K24">_xlfn._xlws.FILTER(road_diesel_blend[Blend_kg_l],road_diesel_blend[Year]=K$5)*1000</f>
        <v>845.28789862149392</v>
      </c>
      <c r="L24" s="28" cm="1">
        <f t="array" ref="L24">_xlfn._xlws.FILTER(road_diesel_blend[Blend_kg_l],road_diesel_blend[Year]=L$5)*1000</f>
        <v>845.6217523940204</v>
      </c>
      <c r="M24" s="28" cm="1">
        <f t="array" ref="M24">_xlfn._xlws.FILTER(road_diesel_blend[Blend_kg_l],road_diesel_blend[Year]=M$5)*1000</f>
        <v>845.93712770795787</v>
      </c>
      <c r="N24" s="28" cm="1">
        <f t="array" ref="N24">_xlfn._xlws.FILTER(road_diesel_blend[Blend_kg_l],road_diesel_blend[Year]=N$5)*1000</f>
        <v>846.15206868392829</v>
      </c>
      <c r="O24" s="28" cm="1">
        <f t="array" ref="O24">_xlfn._xlws.FILTER(road_diesel_blend[Blend_kg_l],road_diesel_blend[Year]=O$5)*1000</f>
        <v>846.21400521007422</v>
      </c>
      <c r="P24" s="28" cm="1">
        <f t="array" ref="P24">_xlfn._xlws.FILTER(road_diesel_blend[Blend_kg_l],road_diesel_blend[Year]=P$5)*1000</f>
        <v>846.00543527154207</v>
      </c>
      <c r="Q24" s="28" cm="1">
        <f t="array" ref="Q24">_xlfn._xlws.FILTER(road_diesel_blend[Blend_kg_l],road_diesel_blend[Year]=Q$5)*1000</f>
        <v>846.2252457756457</v>
      </c>
      <c r="R24" s="28" cm="1">
        <f t="array" ref="R24">_xlfn._xlws.FILTER(road_diesel_blend[Blend_kg_l],road_diesel_blend[Year]=R$5)*1000</f>
        <v>846.39524953151897</v>
      </c>
      <c r="S24" s="28" cm="1">
        <f t="array" ref="S24">_xlfn._xlws.FILTER(road_diesel_blend[Blend_kg_l],road_diesel_blend[Year]=S$5)*1000</f>
        <v>846.40631535636805</v>
      </c>
      <c r="T24" s="28" cm="1">
        <f t="array" ref="T24">_xlfn._xlws.FILTER(road_diesel_blend[Blend_kg_l],road_diesel_blend[Year]=T$5)*1000</f>
        <v>846.14485914192744</v>
      </c>
      <c r="U24" s="28" cm="1">
        <f t="array" ref="U24">_xlfn._xlws.FILTER(road_diesel_blend[Blend_kg_l],road_diesel_blend[Year]=U$5)*1000</f>
        <v>846.69169702195529</v>
      </c>
      <c r="V24" s="28" cm="1">
        <f t="array" ref="V24">_xlfn._xlws.FILTER(road_diesel_blend[Blend_kg_l],road_diesel_blend[Year]=V$5)*1000</f>
        <v>846.57856909961777</v>
      </c>
      <c r="W24" s="28" cm="1">
        <f t="array" ref="W24">_xlfn._xlws.FILTER(road_diesel_blend[Blend_kg_l],road_diesel_blend[Year]=W$5)*1000</f>
        <v>846.96650596163408</v>
      </c>
      <c r="X24" s="28" cm="1">
        <f t="array" ref="X24">_xlfn._xlws.FILTER(road_diesel_blend[Blend_kg_l],road_diesel_blend[Year]=X$5)*1000</f>
        <v>847.18668371148578</v>
      </c>
      <c r="Y24" s="28" cm="1">
        <f t="array" ref="Y24">_xlfn._xlws.FILTER(road_diesel_blend[Blend_kg_l],road_diesel_blend[Year]=Y$5)*1000</f>
        <v>846.99056868696846</v>
      </c>
      <c r="Z24" s="28" cm="1">
        <f t="array" ref="Z24">_xlfn._xlws.FILTER(road_diesel_blend[Blend_kg_l],road_diesel_blend[Year]=Z$5)*1000</f>
        <v>847.07959555764876</v>
      </c>
      <c r="AA24" s="28" cm="1">
        <f t="array" ref="AA24">_xlfn._xlws.FILTER(road_diesel_blend[Blend_kg_l],road_diesel_blend[Year]=AA$5)*1000</f>
        <v>846.13883808824255</v>
      </c>
      <c r="AB24" s="28" cm="1">
        <f t="array" ref="AB24">_xlfn._xlws.FILTER(road_diesel_blend[Blend_kg_l],road_diesel_blend[Year]=AB$5)*1000</f>
        <v>845.00934556838843</v>
      </c>
      <c r="AC24" s="28" cm="1">
        <f t="array" ref="AC24">_xlfn._xlws.FILTER(road_diesel_blend[Blend_kg_l],road_diesel_blend[Year]=AC$5)*1000</f>
        <v>845.15838762896612</v>
      </c>
    </row>
    <row r="25" spans="2:29" x14ac:dyDescent="0.35">
      <c r="B25" t="s">
        <v>80</v>
      </c>
      <c r="C25" s="7" t="s">
        <v>56</v>
      </c>
      <c r="E25" s="28" cm="1">
        <f t="array" ref="E25">_xlfn._xlws.FILTER(road_petrol_blend[Blend_kg_l],road_petrol_blend[Year]=E$5)*1000</f>
        <v>755</v>
      </c>
      <c r="F25" s="28" cm="1">
        <f t="array" ref="F25">_xlfn._xlws.FILTER(road_petrol_blend[Blend_kg_l],road_petrol_blend[Year]=F$5)*1000</f>
        <v>755.00000000000011</v>
      </c>
      <c r="G25" s="28" cm="1">
        <f t="array" ref="G25">_xlfn._xlws.FILTER(road_petrol_blend[Blend_kg_l],road_petrol_blend[Year]=G$5)*1000</f>
        <v>755</v>
      </c>
      <c r="H25" s="28" cm="1">
        <f t="array" ref="H25">_xlfn._xlws.FILTER(road_petrol_blend[Blend_kg_l],road_petrol_blend[Year]=H$5)*1000</f>
        <v>754.99999999999989</v>
      </c>
      <c r="I25" s="28" cm="1">
        <f t="array" ref="I25">_xlfn._xlws.FILTER(road_petrol_blend[Blend_kg_l],road_petrol_blend[Year]=I$5)*1000</f>
        <v>740.7411614940479</v>
      </c>
      <c r="J25" s="28" cm="1">
        <f t="array" ref="J25">_xlfn._xlws.FILTER(road_petrol_blend[Blend_kg_l],road_petrol_blend[Year]=J$5)*1000</f>
        <v>740.77294909283683</v>
      </c>
      <c r="K25" s="28" cm="1">
        <f t="array" ref="K25">_xlfn._xlws.FILTER(road_petrol_blend[Blend_kg_l],road_petrol_blend[Year]=K$5)*1000</f>
        <v>740.9122781730141</v>
      </c>
      <c r="L25" s="28" cm="1">
        <f t="array" ref="L25">_xlfn._xlws.FILTER(road_petrol_blend[Blend_kg_l],road_petrol_blend[Year]=L$5)*1000</f>
        <v>741.6456584397115</v>
      </c>
      <c r="M25" s="28" cm="1">
        <f t="array" ref="M25">_xlfn._xlws.FILTER(road_petrol_blend[Blend_kg_l],road_petrol_blend[Year]=M$5)*1000</f>
        <v>742.0010525488409</v>
      </c>
      <c r="N25" s="28" cm="1">
        <f t="array" ref="N25">_xlfn._xlws.FILTER(road_petrol_blend[Blend_kg_l],road_petrol_blend[Year]=N$5)*1000</f>
        <v>742.56832010585424</v>
      </c>
      <c r="O25" s="28" cm="1">
        <f t="array" ref="O25">_xlfn._xlws.FILTER(road_petrol_blend[Blend_kg_l],road_petrol_blend[Year]=O$5)*1000</f>
        <v>742.60016062796285</v>
      </c>
      <c r="P25" s="28" cm="1">
        <f t="array" ref="P25">_xlfn._xlws.FILTER(road_petrol_blend[Blend_kg_l],road_petrol_blend[Year]=P$5)*1000</f>
        <v>742.74662451841311</v>
      </c>
      <c r="Q25" s="28" cm="1">
        <f t="array" ref="Q25">_xlfn._xlws.FILTER(road_petrol_blend[Blend_kg_l],road_petrol_blend[Year]=Q$5)*1000</f>
        <v>742.86359769375281</v>
      </c>
      <c r="R25" s="28" cm="1">
        <f t="array" ref="R25">_xlfn._xlws.FILTER(road_petrol_blend[Blend_kg_l],road_petrol_blend[Year]=R$5)*1000</f>
        <v>742.83223176760282</v>
      </c>
      <c r="S25" s="28" cm="1">
        <f t="array" ref="S25">_xlfn._xlws.FILTER(road_petrol_blend[Blend_kg_l],road_petrol_blend[Year]=S$5)*1000</f>
        <v>743.19988187115632</v>
      </c>
      <c r="T25" s="28" cm="1">
        <f t="array" ref="T25">_xlfn._xlws.FILTER(road_petrol_blend[Blend_kg_l],road_petrol_blend[Year]=T$5)*1000</f>
        <v>743.61069600211874</v>
      </c>
      <c r="U25" s="28" cm="1">
        <f t="array" ref="U25">_xlfn._xlws.FILTER(road_petrol_blend[Blend_kg_l],road_petrol_blend[Year]=U$5)*1000</f>
        <v>743.61688318283007</v>
      </c>
      <c r="V25" s="28" cm="1">
        <f t="array" ref="V25">_xlfn._xlws.FILTER(road_petrol_blend[Blend_kg_l],road_petrol_blend[Year]=V$5)*1000</f>
        <v>743.64604812630103</v>
      </c>
      <c r="W25" s="28" cm="1">
        <f t="array" ref="W25">_xlfn._xlws.FILTER(road_petrol_blend[Blend_kg_l],road_petrol_blend[Year]=W$5)*1000</f>
        <v>743.68350920548903</v>
      </c>
      <c r="X25" s="28" cm="1">
        <f t="array" ref="X25">_xlfn._xlws.FILTER(road_petrol_blend[Blend_kg_l],road_petrol_blend[Year]=X$5)*1000</f>
        <v>743.68872946221165</v>
      </c>
      <c r="Y25" s="28" cm="1">
        <f t="array" ref="Y25">_xlfn._xlws.FILTER(road_petrol_blend[Blend_kg_l],road_petrol_blend[Year]=Y$5)*1000</f>
        <v>743.6524604544029</v>
      </c>
      <c r="Z25" s="28" cm="1">
        <f t="array" ref="Z25">_xlfn._xlws.FILTER(road_petrol_blend[Blend_kg_l],road_petrol_blend[Year]=Z$5)*1000</f>
        <v>743.66880993814868</v>
      </c>
      <c r="AA25" s="28" cm="1">
        <f t="array" ref="AA25">_xlfn._xlws.FILTER(road_petrol_blend[Blend_kg_l],road_petrol_blend[Year]=AA$5)*1000</f>
        <v>744.54939873230899</v>
      </c>
      <c r="AB25" s="28" cm="1">
        <f t="array" ref="AB25">_xlfn._xlws.FILTER(road_petrol_blend[Blend_kg_l],road_petrol_blend[Year]=AB$5)*1000</f>
        <v>746.08239353361239</v>
      </c>
      <c r="AC25" s="28" cm="1">
        <f t="array" ref="AC25">_xlfn._xlws.FILTER(road_petrol_blend[Blend_kg_l],road_petrol_blend[Year]=AC$5)*1000</f>
        <v>746.50749949708597</v>
      </c>
    </row>
    <row r="26" spans="2:29" x14ac:dyDescent="0.35">
      <c r="B26" s="7"/>
      <c r="C26" s="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2A24-A07F-401D-A915-14A2805AB3BF}">
  <dimension ref="B2:AC58"/>
  <sheetViews>
    <sheetView workbookViewId="0"/>
  </sheetViews>
  <sheetFormatPr defaultColWidth="9.1796875" defaultRowHeight="14.5" x14ac:dyDescent="0.35"/>
  <cols>
    <col min="2" max="2" width="30.453125" bestFit="1" customWidth="1"/>
    <col min="3" max="3" width="9.81640625" bestFit="1" customWidth="1"/>
    <col min="4" max="4" width="34.26953125" customWidth="1"/>
    <col min="5" max="5" width="10.81640625" bestFit="1" customWidth="1"/>
    <col min="6" max="27" width="10.81640625" customWidth="1"/>
  </cols>
  <sheetData>
    <row r="2" spans="2:29" ht="17.5" thickBot="1" x14ac:dyDescent="0.45">
      <c r="B2" s="10" t="s">
        <v>123</v>
      </c>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2:29" ht="15" thickTop="1" x14ac:dyDescent="0.35">
      <c r="B3" s="11" t="s">
        <v>29</v>
      </c>
      <c r="C3" s="11"/>
      <c r="D3" s="11"/>
      <c r="E3" s="11"/>
      <c r="F3" s="11"/>
      <c r="G3" s="11"/>
      <c r="H3" s="11"/>
      <c r="I3" s="11"/>
      <c r="J3" s="11"/>
      <c r="K3" s="11"/>
      <c r="L3" s="11"/>
      <c r="M3" s="11"/>
      <c r="N3" s="11"/>
      <c r="O3" s="11"/>
      <c r="P3" s="11"/>
      <c r="Q3" s="11"/>
      <c r="R3" s="11"/>
      <c r="S3" s="11"/>
      <c r="T3" s="11"/>
      <c r="U3" s="11"/>
      <c r="V3" s="11"/>
      <c r="W3" s="11"/>
      <c r="X3" s="11"/>
      <c r="Y3" s="11"/>
      <c r="Z3" s="11"/>
      <c r="AA3" s="11"/>
      <c r="AB3" s="11"/>
      <c r="AC3" s="11"/>
    </row>
    <row r="5" spans="2:29" ht="15" thickBot="1" x14ac:dyDescent="0.4">
      <c r="B5" s="12" t="s">
        <v>30</v>
      </c>
    </row>
    <row r="6" spans="2:29" x14ac:dyDescent="0.35">
      <c r="B6" s="99" t="s">
        <v>124</v>
      </c>
    </row>
    <row r="7" spans="2:29" x14ac:dyDescent="0.35">
      <c r="B7" s="99" t="s">
        <v>125</v>
      </c>
    </row>
    <row r="8" spans="2:29" x14ac:dyDescent="0.35">
      <c r="B8" s="99" t="s">
        <v>126</v>
      </c>
    </row>
    <row r="9" spans="2:29" x14ac:dyDescent="0.35">
      <c r="B9" s="99" t="s">
        <v>127</v>
      </c>
    </row>
    <row r="10" spans="2:29" x14ac:dyDescent="0.35">
      <c r="B10" s="99" t="s">
        <v>128</v>
      </c>
    </row>
    <row r="13" spans="2:29" ht="15" thickBot="1" x14ac:dyDescent="0.4">
      <c r="B13" s="12" t="s">
        <v>41</v>
      </c>
      <c r="C13" s="12" t="s">
        <v>108</v>
      </c>
      <c r="D13" s="12" t="s">
        <v>47</v>
      </c>
      <c r="E13" s="12" t="s">
        <v>129</v>
      </c>
      <c r="F13" s="8"/>
      <c r="G13" s="8"/>
      <c r="H13" s="8"/>
      <c r="I13" s="8"/>
      <c r="J13" s="8"/>
      <c r="K13" s="8"/>
      <c r="L13" s="8"/>
      <c r="M13" s="8"/>
      <c r="N13" s="8"/>
      <c r="O13" s="8"/>
      <c r="P13" s="8"/>
      <c r="Q13" s="8"/>
      <c r="R13" s="8"/>
      <c r="S13" s="8"/>
      <c r="T13" s="8"/>
      <c r="U13" s="8"/>
      <c r="V13" s="8"/>
      <c r="W13" s="8"/>
      <c r="X13" s="8"/>
      <c r="Y13" s="8"/>
      <c r="Z13" s="8"/>
      <c r="AA13" s="8"/>
      <c r="AB13" s="8"/>
      <c r="AC13" s="8"/>
    </row>
    <row r="14" spans="2:29" x14ac:dyDescent="0.35">
      <c r="B14" s="42" t="s">
        <v>59</v>
      </c>
      <c r="F14" s="8"/>
      <c r="G14" s="8"/>
      <c r="H14" s="8"/>
      <c r="I14" s="8"/>
      <c r="J14" s="8"/>
      <c r="K14" s="8"/>
      <c r="L14" s="8"/>
      <c r="M14" s="8"/>
      <c r="N14" s="8"/>
      <c r="O14" s="8"/>
      <c r="P14" s="8"/>
      <c r="Q14" s="8"/>
      <c r="R14" s="8"/>
      <c r="S14" s="8"/>
      <c r="T14" s="8"/>
      <c r="U14" s="8"/>
      <c r="V14" s="8"/>
      <c r="W14" s="8"/>
      <c r="X14" s="8"/>
      <c r="Y14" s="8"/>
      <c r="Z14" s="8"/>
      <c r="AA14" s="8"/>
      <c r="AB14" s="8"/>
      <c r="AC14" s="8"/>
    </row>
    <row r="15" spans="2:29" x14ac:dyDescent="0.35">
      <c r="B15" s="7" t="s">
        <v>60</v>
      </c>
      <c r="C15" s="7" t="s">
        <v>58</v>
      </c>
      <c r="D15" s="7"/>
      <c r="E15" s="33" t="s">
        <v>58</v>
      </c>
      <c r="F15" s="8"/>
      <c r="G15" s="8"/>
      <c r="H15" s="8"/>
      <c r="I15" s="8"/>
      <c r="J15" s="8"/>
      <c r="K15" s="8"/>
      <c r="L15" s="8"/>
      <c r="M15" s="8"/>
      <c r="N15" s="8"/>
      <c r="O15" s="8"/>
      <c r="P15" s="8"/>
      <c r="Q15" s="8"/>
      <c r="R15" s="8"/>
      <c r="S15" s="8"/>
      <c r="T15" s="8"/>
      <c r="U15" s="8"/>
      <c r="V15" s="8"/>
      <c r="W15" s="8"/>
      <c r="X15" s="8"/>
      <c r="Y15" s="8"/>
      <c r="Z15" s="8"/>
      <c r="AA15" s="8"/>
      <c r="AB15" s="8"/>
      <c r="AC15" s="8"/>
    </row>
    <row r="16" spans="2:29" x14ac:dyDescent="0.35">
      <c r="B16" s="7" t="s">
        <v>61</v>
      </c>
      <c r="C16" s="7" t="s">
        <v>58</v>
      </c>
      <c r="D16" s="7"/>
      <c r="E16" s="33">
        <v>1.1000000000000001</v>
      </c>
      <c r="F16" s="8"/>
      <c r="G16" s="8"/>
      <c r="H16" s="8"/>
      <c r="I16" s="8"/>
      <c r="J16" s="8"/>
      <c r="K16" s="8"/>
      <c r="L16" s="8"/>
      <c r="M16" s="8"/>
      <c r="N16" s="8"/>
      <c r="O16" s="8"/>
      <c r="P16" s="8"/>
      <c r="Q16" s="8"/>
      <c r="R16" s="8"/>
      <c r="S16" s="8"/>
      <c r="T16" s="8"/>
      <c r="U16" s="8"/>
      <c r="V16" s="8"/>
      <c r="W16" s="8"/>
      <c r="X16" s="8"/>
      <c r="Y16" s="8"/>
      <c r="Z16" s="8"/>
      <c r="AA16" s="8"/>
      <c r="AB16" s="8"/>
      <c r="AC16" s="8"/>
    </row>
    <row r="17" spans="2:29" x14ac:dyDescent="0.35">
      <c r="B17" s="7" t="s">
        <v>62</v>
      </c>
      <c r="C17" s="7" t="s">
        <v>58</v>
      </c>
      <c r="D17" s="7"/>
      <c r="E17" s="33">
        <v>1.1000000000000001</v>
      </c>
      <c r="F17" s="8"/>
      <c r="G17" s="8"/>
      <c r="H17" s="8"/>
      <c r="I17" s="8"/>
      <c r="J17" s="8"/>
      <c r="K17" s="8"/>
      <c r="L17" s="8"/>
      <c r="M17" s="8"/>
      <c r="N17" s="8"/>
      <c r="O17" s="8"/>
      <c r="P17" s="8"/>
      <c r="Q17" s="8"/>
      <c r="R17" s="8"/>
      <c r="S17" s="8"/>
      <c r="T17" s="8"/>
      <c r="U17" s="8"/>
      <c r="V17" s="8"/>
      <c r="W17" s="8"/>
      <c r="X17" s="8"/>
      <c r="Y17" s="8"/>
      <c r="Z17" s="8"/>
      <c r="AA17" s="8"/>
      <c r="AB17" s="8"/>
      <c r="AC17" s="8"/>
    </row>
    <row r="18" spans="2:29" x14ac:dyDescent="0.35">
      <c r="B18" t="s">
        <v>63</v>
      </c>
      <c r="C18" s="7" t="s">
        <v>58</v>
      </c>
      <c r="D18" s="7"/>
      <c r="E18" s="33">
        <v>1.1000000000000001</v>
      </c>
      <c r="F18" s="8"/>
      <c r="G18" s="8"/>
      <c r="H18" s="8"/>
      <c r="I18" s="8"/>
      <c r="J18" s="8"/>
      <c r="K18" s="8"/>
      <c r="L18" s="8"/>
      <c r="M18" s="8"/>
      <c r="N18" s="8"/>
      <c r="O18" s="8"/>
      <c r="P18" s="8"/>
      <c r="Q18" s="8"/>
      <c r="R18" s="8"/>
      <c r="S18" s="8"/>
      <c r="T18" s="8"/>
      <c r="U18" s="8"/>
      <c r="V18" s="8"/>
      <c r="W18" s="8"/>
      <c r="X18" s="8"/>
      <c r="Y18" s="8"/>
      <c r="Z18" s="8"/>
      <c r="AA18" s="8"/>
      <c r="AB18" s="8"/>
      <c r="AC18" s="8"/>
    </row>
    <row r="19" spans="2:29" x14ac:dyDescent="0.35">
      <c r="B19" s="7" t="s">
        <v>64</v>
      </c>
      <c r="C19" s="7" t="s">
        <v>58</v>
      </c>
      <c r="D19" s="7"/>
      <c r="E19" s="33">
        <v>1.1000000000000001</v>
      </c>
      <c r="F19" s="8"/>
      <c r="G19" s="8"/>
      <c r="H19" s="8"/>
      <c r="I19" s="8"/>
      <c r="J19" s="8"/>
      <c r="K19" s="8"/>
      <c r="L19" s="8"/>
      <c r="M19" s="8"/>
      <c r="N19" s="8"/>
      <c r="O19" s="8"/>
      <c r="P19" s="8"/>
      <c r="Q19" s="8"/>
      <c r="R19" s="8"/>
      <c r="S19" s="8"/>
      <c r="T19" s="8"/>
      <c r="U19" s="8"/>
      <c r="V19" s="8"/>
      <c r="W19" s="8"/>
      <c r="X19" s="8"/>
      <c r="Y19" s="8"/>
      <c r="Z19" s="8"/>
      <c r="AA19" s="8"/>
      <c r="AB19" s="8"/>
      <c r="AC19" s="8"/>
    </row>
    <row r="20" spans="2:29" x14ac:dyDescent="0.35">
      <c r="B20" t="s">
        <v>65</v>
      </c>
      <c r="C20" s="7" t="s">
        <v>58</v>
      </c>
      <c r="D20" s="7"/>
      <c r="E20" s="33">
        <v>1.1000000000000001</v>
      </c>
      <c r="F20" s="8"/>
      <c r="G20" s="8"/>
      <c r="H20" s="8"/>
      <c r="I20" s="8"/>
      <c r="J20" s="8"/>
      <c r="K20" s="8"/>
      <c r="L20" s="8"/>
      <c r="M20" s="8"/>
      <c r="N20" s="8"/>
      <c r="O20" s="8"/>
      <c r="P20" s="8"/>
      <c r="Q20" s="8"/>
      <c r="R20" s="8"/>
      <c r="S20" s="8"/>
      <c r="T20" s="8"/>
      <c r="U20" s="8"/>
      <c r="V20" s="8"/>
      <c r="W20" s="8"/>
      <c r="X20" s="8"/>
      <c r="Y20" s="8"/>
      <c r="Z20" s="8"/>
      <c r="AA20" s="8"/>
      <c r="AB20" s="8"/>
      <c r="AC20" s="8"/>
    </row>
    <row r="21" spans="2:29" x14ac:dyDescent="0.35">
      <c r="B21" t="s">
        <v>66</v>
      </c>
      <c r="C21" s="7" t="s">
        <v>58</v>
      </c>
      <c r="D21" s="7"/>
      <c r="E21" s="33">
        <v>1.1000000000000001</v>
      </c>
      <c r="F21" s="8"/>
      <c r="G21" s="8"/>
      <c r="H21" s="8"/>
      <c r="I21" s="8"/>
      <c r="J21" s="8"/>
      <c r="K21" s="8"/>
      <c r="L21" s="8"/>
      <c r="M21" s="8"/>
      <c r="N21" s="8"/>
      <c r="O21" s="8"/>
      <c r="P21" s="8"/>
      <c r="Q21" s="8"/>
      <c r="R21" s="8"/>
      <c r="S21" s="8"/>
      <c r="T21" s="8"/>
      <c r="U21" s="8"/>
      <c r="V21" s="8"/>
      <c r="W21" s="8"/>
      <c r="X21" s="8"/>
      <c r="Y21" s="8"/>
      <c r="Z21" s="8"/>
      <c r="AA21" s="8"/>
      <c r="AB21" s="8"/>
      <c r="AC21" s="8"/>
    </row>
    <row r="22" spans="2:29" x14ac:dyDescent="0.35">
      <c r="F22" s="8"/>
      <c r="G22" s="8"/>
      <c r="H22" s="8"/>
      <c r="I22" s="8"/>
      <c r="J22" s="8"/>
      <c r="K22" s="8"/>
      <c r="L22" s="8"/>
      <c r="M22" s="8"/>
      <c r="N22" s="8"/>
      <c r="O22" s="8"/>
      <c r="P22" s="8"/>
      <c r="Q22" s="8"/>
      <c r="R22" s="8"/>
      <c r="S22" s="8"/>
      <c r="T22" s="8"/>
      <c r="U22" s="8"/>
      <c r="V22" s="8"/>
      <c r="W22" s="8"/>
      <c r="X22" s="8"/>
      <c r="Y22" s="8"/>
      <c r="Z22" s="8"/>
      <c r="AA22" s="8"/>
      <c r="AB22" s="8"/>
      <c r="AC22" s="8"/>
    </row>
    <row r="23" spans="2:29" x14ac:dyDescent="0.35">
      <c r="B23" s="42" t="s">
        <v>68</v>
      </c>
      <c r="F23" s="8"/>
      <c r="G23" s="8"/>
      <c r="H23" s="8"/>
      <c r="I23" s="8"/>
      <c r="J23" s="8"/>
      <c r="K23" s="8"/>
      <c r="L23" s="8"/>
      <c r="M23" s="8"/>
      <c r="N23" s="8"/>
      <c r="O23" s="8"/>
      <c r="P23" s="8"/>
      <c r="Q23" s="8"/>
      <c r="R23" s="8"/>
      <c r="S23" s="8"/>
      <c r="T23" s="8"/>
      <c r="U23" s="8"/>
      <c r="V23" s="8"/>
      <c r="W23" s="8"/>
      <c r="X23" s="8"/>
      <c r="Y23" s="8"/>
      <c r="Z23" s="8"/>
      <c r="AA23" s="8"/>
      <c r="AB23" s="8"/>
      <c r="AC23" s="8"/>
    </row>
    <row r="24" spans="2:29" x14ac:dyDescent="0.35">
      <c r="B24" t="s">
        <v>69</v>
      </c>
      <c r="C24" s="7" t="s">
        <v>58</v>
      </c>
      <c r="D24" s="7"/>
      <c r="E24" s="33">
        <v>1.1000000000000001</v>
      </c>
      <c r="F24" s="8"/>
      <c r="G24" s="8"/>
      <c r="H24" s="8"/>
      <c r="I24" s="8"/>
      <c r="J24" s="8"/>
      <c r="K24" s="8"/>
      <c r="L24" s="8"/>
      <c r="M24" s="8"/>
      <c r="N24" s="8"/>
      <c r="O24" s="8"/>
      <c r="P24" s="8"/>
      <c r="Q24" s="8"/>
      <c r="R24" s="8"/>
      <c r="S24" s="8"/>
      <c r="T24" s="8"/>
      <c r="U24" s="8"/>
      <c r="V24" s="8"/>
      <c r="W24" s="8"/>
      <c r="X24" s="8"/>
      <c r="Y24" s="8"/>
      <c r="Z24" s="8"/>
      <c r="AA24" s="8"/>
      <c r="AB24" s="8"/>
      <c r="AC24" s="8"/>
    </row>
    <row r="25" spans="2:29" x14ac:dyDescent="0.35">
      <c r="B25" t="s">
        <v>70</v>
      </c>
      <c r="C25" s="7" t="s">
        <v>58</v>
      </c>
      <c r="D25" s="7"/>
      <c r="E25" s="33">
        <v>1.1000000000000001</v>
      </c>
      <c r="F25" s="8"/>
      <c r="G25" s="8"/>
      <c r="H25" s="8"/>
      <c r="I25" s="8"/>
      <c r="J25" s="8"/>
      <c r="K25" s="8"/>
      <c r="L25" s="8"/>
      <c r="M25" s="8"/>
      <c r="N25" s="8"/>
      <c r="O25" s="8"/>
      <c r="P25" s="8"/>
      <c r="Q25" s="8"/>
      <c r="R25" s="8"/>
      <c r="S25" s="8"/>
      <c r="T25" s="8"/>
      <c r="U25" s="8"/>
      <c r="V25" s="8"/>
      <c r="W25" s="8"/>
      <c r="X25" s="8"/>
      <c r="Y25" s="8"/>
      <c r="Z25" s="8"/>
      <c r="AA25" s="8"/>
      <c r="AB25" s="8"/>
      <c r="AC25" s="8"/>
    </row>
    <row r="26" spans="2:29" x14ac:dyDescent="0.35">
      <c r="B26" t="s">
        <v>72</v>
      </c>
      <c r="C26" s="7" t="s">
        <v>58</v>
      </c>
      <c r="D26" s="7"/>
      <c r="E26" s="33">
        <v>1.1000000000000001</v>
      </c>
      <c r="F26" s="8"/>
      <c r="G26" s="8"/>
      <c r="H26" s="8"/>
      <c r="I26" s="8"/>
      <c r="J26" s="8"/>
      <c r="K26" s="8"/>
      <c r="L26" s="8"/>
      <c r="M26" s="8"/>
      <c r="N26" s="8"/>
      <c r="O26" s="8"/>
      <c r="P26" s="8"/>
      <c r="Q26" s="8"/>
      <c r="R26" s="8"/>
      <c r="S26" s="8"/>
      <c r="T26" s="8"/>
      <c r="U26" s="8"/>
      <c r="V26" s="8"/>
      <c r="W26" s="8"/>
      <c r="X26" s="8"/>
      <c r="Y26" s="8"/>
      <c r="Z26" s="8"/>
      <c r="AA26" s="8"/>
      <c r="AB26" s="8"/>
      <c r="AC26" s="8"/>
    </row>
    <row r="27" spans="2:29" x14ac:dyDescent="0.35">
      <c r="B27" t="s">
        <v>74</v>
      </c>
      <c r="C27" s="7" t="s">
        <v>58</v>
      </c>
      <c r="D27" s="7"/>
      <c r="E27" s="33">
        <v>1.1000000000000001</v>
      </c>
      <c r="F27" s="8"/>
      <c r="G27" s="8"/>
      <c r="H27" s="8"/>
      <c r="I27" s="8"/>
      <c r="J27" s="8"/>
      <c r="K27" s="8"/>
      <c r="L27" s="8"/>
      <c r="M27" s="8"/>
      <c r="N27" s="8"/>
      <c r="O27" s="8"/>
      <c r="P27" s="8"/>
      <c r="Q27" s="8"/>
      <c r="R27" s="8"/>
      <c r="S27" s="8"/>
      <c r="T27" s="8"/>
      <c r="U27" s="8"/>
      <c r="V27" s="8"/>
      <c r="W27" s="8"/>
      <c r="X27" s="8"/>
      <c r="Y27" s="8"/>
      <c r="Z27" s="8"/>
      <c r="AA27" s="8"/>
      <c r="AB27" s="8"/>
      <c r="AC27" s="8"/>
    </row>
    <row r="28" spans="2:29" x14ac:dyDescent="0.35">
      <c r="B28" t="s">
        <v>76</v>
      </c>
      <c r="C28" s="7" t="s">
        <v>58</v>
      </c>
      <c r="D28" s="7"/>
      <c r="E28" s="33">
        <v>1.1000000000000001</v>
      </c>
      <c r="F28" s="8"/>
      <c r="G28" s="8"/>
      <c r="H28" s="8"/>
      <c r="I28" s="8"/>
      <c r="J28" s="8"/>
      <c r="K28" s="8"/>
      <c r="L28" s="8"/>
      <c r="M28" s="8"/>
      <c r="N28" s="8"/>
      <c r="O28" s="8"/>
      <c r="P28" s="8"/>
      <c r="Q28" s="8"/>
      <c r="R28" s="8"/>
      <c r="S28" s="8"/>
      <c r="T28" s="8"/>
      <c r="U28" s="8"/>
      <c r="V28" s="8"/>
      <c r="W28" s="8"/>
      <c r="X28" s="8"/>
      <c r="Y28" s="8"/>
      <c r="Z28" s="8"/>
      <c r="AA28" s="8"/>
      <c r="AB28" s="8"/>
      <c r="AC28" s="8"/>
    </row>
    <row r="29" spans="2:29" x14ac:dyDescent="0.35">
      <c r="B29" t="s">
        <v>77</v>
      </c>
      <c r="C29" s="7" t="s">
        <v>58</v>
      </c>
      <c r="D29" s="7"/>
      <c r="E29" s="33">
        <v>1.1000000000000001</v>
      </c>
      <c r="F29" s="8"/>
      <c r="G29" s="8"/>
      <c r="H29" s="8"/>
      <c r="I29" s="8"/>
      <c r="J29" s="8"/>
      <c r="K29" s="8"/>
      <c r="L29" s="8"/>
      <c r="M29" s="8"/>
      <c r="N29" s="8"/>
      <c r="O29" s="8"/>
      <c r="P29" s="8"/>
      <c r="Q29" s="8"/>
      <c r="R29" s="8"/>
      <c r="S29" s="8"/>
      <c r="T29" s="8"/>
      <c r="U29" s="8"/>
      <c r="V29" s="8"/>
      <c r="W29" s="8"/>
      <c r="X29" s="8"/>
      <c r="Y29" s="8"/>
      <c r="Z29" s="8"/>
      <c r="AA29" s="8"/>
      <c r="AB29" s="8"/>
      <c r="AC29" s="8"/>
    </row>
    <row r="30" spans="2:29" x14ac:dyDescent="0.35">
      <c r="F30" s="8"/>
      <c r="G30" s="8"/>
      <c r="H30" s="8"/>
      <c r="I30" s="8"/>
      <c r="J30" s="8"/>
      <c r="K30" s="8"/>
      <c r="L30" s="8"/>
      <c r="M30" s="8"/>
      <c r="N30" s="8"/>
      <c r="O30" s="8"/>
      <c r="P30" s="8"/>
      <c r="Q30" s="8"/>
      <c r="R30" s="8"/>
      <c r="S30" s="8"/>
      <c r="T30" s="8"/>
      <c r="U30" s="8"/>
      <c r="V30" s="8"/>
      <c r="W30" s="8"/>
      <c r="X30" s="8"/>
      <c r="Y30" s="8"/>
      <c r="Z30" s="8"/>
      <c r="AA30" s="8"/>
      <c r="AB30" s="8"/>
      <c r="AC30" s="8"/>
    </row>
    <row r="31" spans="2:29" x14ac:dyDescent="0.35">
      <c r="B31" s="42" t="s">
        <v>78</v>
      </c>
      <c r="F31" s="8"/>
      <c r="G31" s="8"/>
      <c r="H31" s="8"/>
      <c r="I31" s="8"/>
      <c r="J31" s="8"/>
      <c r="K31" s="8"/>
      <c r="L31" s="8"/>
      <c r="M31" s="8"/>
      <c r="N31" s="8"/>
      <c r="O31" s="8"/>
      <c r="P31" s="8"/>
      <c r="Q31" s="8"/>
      <c r="R31" s="8"/>
      <c r="S31" s="8"/>
      <c r="T31" s="8"/>
      <c r="U31" s="8"/>
      <c r="V31" s="8"/>
      <c r="W31" s="8"/>
      <c r="X31" s="8"/>
      <c r="Y31" s="8"/>
      <c r="Z31" s="8"/>
      <c r="AA31" s="8"/>
      <c r="AB31" s="8"/>
      <c r="AC31" s="8"/>
    </row>
    <row r="32" spans="2:29" x14ac:dyDescent="0.35">
      <c r="B32" t="s">
        <v>79</v>
      </c>
      <c r="C32" s="7" t="s">
        <v>58</v>
      </c>
      <c r="D32" s="7"/>
      <c r="E32" s="33">
        <v>1.1000000000000001</v>
      </c>
      <c r="F32" s="8"/>
      <c r="G32" s="8"/>
      <c r="H32" s="8"/>
      <c r="I32" s="8"/>
      <c r="J32" s="8"/>
      <c r="K32" s="8"/>
      <c r="L32" s="8"/>
      <c r="M32" s="8"/>
      <c r="N32" s="8"/>
      <c r="O32" s="8"/>
      <c r="P32" s="8"/>
      <c r="Q32" s="8"/>
      <c r="R32" s="8"/>
      <c r="S32" s="8"/>
      <c r="T32" s="8"/>
      <c r="U32" s="8"/>
      <c r="V32" s="8"/>
      <c r="W32" s="8"/>
      <c r="X32" s="8"/>
      <c r="Y32" s="8"/>
      <c r="Z32" s="8"/>
      <c r="AA32" s="8"/>
      <c r="AB32" s="8"/>
      <c r="AC32" s="8"/>
    </row>
    <row r="33" spans="2:29" x14ac:dyDescent="0.35">
      <c r="B33" t="s">
        <v>80</v>
      </c>
      <c r="C33" s="7" t="s">
        <v>58</v>
      </c>
      <c r="D33" s="7"/>
      <c r="E33" s="33">
        <v>1.1000000000000001</v>
      </c>
      <c r="F33" s="8"/>
      <c r="G33" s="8"/>
      <c r="H33" s="8"/>
      <c r="I33" s="8"/>
      <c r="J33" s="8"/>
      <c r="K33" s="8"/>
      <c r="L33" s="8"/>
      <c r="M33" s="8"/>
      <c r="N33" s="8"/>
      <c r="O33" s="8"/>
      <c r="P33" s="8"/>
      <c r="Q33" s="8"/>
      <c r="R33" s="8"/>
      <c r="S33" s="8"/>
      <c r="T33" s="8"/>
      <c r="U33" s="8"/>
      <c r="V33" s="8"/>
      <c r="W33" s="8"/>
      <c r="X33" s="8"/>
      <c r="Y33" s="8"/>
      <c r="Z33" s="8"/>
      <c r="AA33" s="8"/>
      <c r="AB33" s="8"/>
      <c r="AC33" s="8"/>
    </row>
    <row r="34" spans="2:29" x14ac:dyDescent="0.35">
      <c r="B34" s="7"/>
      <c r="C34" s="7"/>
      <c r="D34" s="7"/>
      <c r="E34" s="7"/>
      <c r="F34" s="8"/>
      <c r="G34" s="8"/>
      <c r="H34" s="8"/>
      <c r="I34" s="8"/>
      <c r="J34" s="8"/>
      <c r="K34" s="8"/>
      <c r="L34" s="8"/>
      <c r="M34" s="8"/>
      <c r="N34" s="8"/>
      <c r="O34" s="8"/>
      <c r="P34" s="8"/>
      <c r="Q34" s="8"/>
      <c r="R34" s="8"/>
      <c r="S34" s="8"/>
      <c r="T34" s="8"/>
      <c r="U34" s="8"/>
      <c r="V34" s="8"/>
      <c r="W34" s="8"/>
      <c r="X34" s="8"/>
      <c r="Y34" s="8"/>
      <c r="Z34" s="8"/>
      <c r="AA34" s="8"/>
      <c r="AB34" s="8"/>
      <c r="AC34" s="8"/>
    </row>
    <row r="35" spans="2:29" x14ac:dyDescent="0.35">
      <c r="B35" s="7"/>
      <c r="C35" s="7"/>
      <c r="D35" s="7"/>
      <c r="E35" s="7"/>
      <c r="F35" s="8"/>
      <c r="G35" s="8"/>
      <c r="H35" s="8"/>
      <c r="I35" s="8"/>
      <c r="J35" s="8"/>
      <c r="K35" s="8"/>
      <c r="L35" s="8"/>
      <c r="M35" s="8"/>
      <c r="N35" s="8"/>
      <c r="O35" s="8"/>
      <c r="P35" s="8"/>
      <c r="Q35" s="8"/>
      <c r="R35" s="8"/>
      <c r="S35" s="8"/>
      <c r="T35" s="8"/>
      <c r="U35" s="8"/>
      <c r="V35" s="8"/>
      <c r="W35" s="8"/>
      <c r="X35" s="8"/>
      <c r="Y35" s="8"/>
      <c r="Z35" s="8"/>
      <c r="AA35" s="8"/>
      <c r="AB35" s="8"/>
      <c r="AC35" s="8"/>
    </row>
    <row r="36" spans="2:29" ht="15" thickBot="1" x14ac:dyDescent="0.4">
      <c r="B36" s="12" t="s">
        <v>81</v>
      </c>
      <c r="C36" s="12" t="s">
        <v>108</v>
      </c>
      <c r="D36" s="12" t="s">
        <v>47</v>
      </c>
      <c r="E36" s="12" t="s">
        <v>129</v>
      </c>
      <c r="F36" s="8"/>
      <c r="G36" s="8"/>
      <c r="H36" s="8"/>
      <c r="I36" s="8"/>
      <c r="J36" s="8"/>
      <c r="K36" s="8"/>
      <c r="L36" s="8"/>
      <c r="M36" s="8"/>
      <c r="N36" s="8"/>
      <c r="O36" s="8"/>
      <c r="P36" s="8"/>
      <c r="Q36" s="8"/>
      <c r="R36" s="8"/>
      <c r="S36" s="8"/>
      <c r="T36" s="8"/>
      <c r="U36" s="8"/>
      <c r="V36" s="8"/>
      <c r="W36" s="8"/>
      <c r="X36" s="8"/>
      <c r="Y36" s="8"/>
      <c r="Z36" s="8"/>
      <c r="AA36" s="8"/>
      <c r="AB36" s="8"/>
      <c r="AC36" s="8"/>
    </row>
    <row r="37" spans="2:29" x14ac:dyDescent="0.35">
      <c r="B37" s="42" t="s">
        <v>82</v>
      </c>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2:29" x14ac:dyDescent="0.35">
      <c r="B38" t="s">
        <v>83</v>
      </c>
      <c r="C38" s="7" t="s">
        <v>58</v>
      </c>
      <c r="D38" s="7"/>
      <c r="E38" s="33">
        <v>1.1000000000000001</v>
      </c>
      <c r="F38" s="8"/>
      <c r="G38" s="8"/>
      <c r="H38" s="8"/>
      <c r="I38" s="8"/>
      <c r="J38" s="8"/>
      <c r="K38" s="8"/>
      <c r="L38" s="8"/>
      <c r="M38" s="8"/>
      <c r="N38" s="8"/>
      <c r="O38" s="8"/>
      <c r="P38" s="8"/>
      <c r="Q38" s="8"/>
      <c r="R38" s="8"/>
      <c r="S38" s="8"/>
      <c r="T38" s="8"/>
      <c r="U38" s="8"/>
      <c r="V38" s="8"/>
      <c r="W38" s="8"/>
      <c r="X38" s="8"/>
      <c r="Y38" s="8"/>
      <c r="Z38" s="8"/>
      <c r="AA38" s="8"/>
      <c r="AB38" s="8"/>
      <c r="AC38" s="8"/>
    </row>
    <row r="39" spans="2:29" x14ac:dyDescent="0.35">
      <c r="B39" t="s">
        <v>84</v>
      </c>
      <c r="C39" s="7" t="s">
        <v>58</v>
      </c>
      <c r="D39" s="7"/>
      <c r="E39" s="33">
        <v>1.1000000000000001</v>
      </c>
      <c r="F39" s="8"/>
      <c r="G39" s="8"/>
      <c r="H39" s="8"/>
      <c r="I39" s="8"/>
      <c r="J39" s="8"/>
      <c r="K39" s="8"/>
      <c r="L39" s="8"/>
      <c r="M39" s="8"/>
      <c r="N39" s="8"/>
      <c r="O39" s="8"/>
      <c r="P39" s="8"/>
      <c r="Q39" s="8"/>
      <c r="R39" s="8"/>
      <c r="S39" s="8"/>
      <c r="T39" s="8"/>
      <c r="U39" s="8"/>
      <c r="V39" s="8"/>
      <c r="W39" s="8"/>
      <c r="X39" s="8"/>
      <c r="Y39" s="8"/>
      <c r="Z39" s="8"/>
      <c r="AA39" s="8"/>
      <c r="AB39" s="8"/>
      <c r="AC39" s="8"/>
    </row>
    <row r="40" spans="2:29" x14ac:dyDescent="0.35">
      <c r="B40" t="s">
        <v>85</v>
      </c>
      <c r="C40" s="7" t="s">
        <v>58</v>
      </c>
      <c r="D40" s="7"/>
      <c r="E40" s="33">
        <v>1.1000000000000001</v>
      </c>
      <c r="F40" s="8"/>
      <c r="G40" s="8"/>
      <c r="H40" s="8"/>
      <c r="I40" s="8"/>
      <c r="J40" s="8"/>
      <c r="K40" s="8"/>
      <c r="L40" s="8"/>
      <c r="M40" s="8"/>
      <c r="N40" s="8"/>
      <c r="O40" s="8"/>
      <c r="P40" s="8"/>
      <c r="Q40" s="8"/>
      <c r="R40" s="8"/>
      <c r="S40" s="8"/>
      <c r="T40" s="8"/>
      <c r="U40" s="8"/>
      <c r="V40" s="8"/>
      <c r="W40" s="8"/>
      <c r="X40" s="8"/>
      <c r="Y40" s="8"/>
      <c r="Z40" s="8"/>
      <c r="AA40" s="8"/>
      <c r="AB40" s="8"/>
      <c r="AC40" s="8"/>
    </row>
    <row r="41" spans="2:29" x14ac:dyDescent="0.35">
      <c r="B41" t="s">
        <v>86</v>
      </c>
      <c r="C41" s="7" t="s">
        <v>58</v>
      </c>
      <c r="D41" s="7"/>
      <c r="E41" s="33">
        <v>1.1000000000000001</v>
      </c>
      <c r="F41" s="8"/>
      <c r="G41" s="8"/>
      <c r="H41" s="8"/>
      <c r="I41" s="8"/>
      <c r="J41" s="8"/>
      <c r="K41" s="8"/>
      <c r="L41" s="8"/>
      <c r="M41" s="8"/>
      <c r="N41" s="8"/>
      <c r="O41" s="8"/>
      <c r="P41" s="8"/>
      <c r="Q41" s="8"/>
      <c r="R41" s="8"/>
      <c r="S41" s="8"/>
      <c r="T41" s="8"/>
      <c r="U41" s="8"/>
      <c r="V41" s="8"/>
      <c r="W41" s="8"/>
      <c r="X41" s="8"/>
      <c r="Y41" s="8"/>
      <c r="Z41" s="8"/>
      <c r="AA41" s="8"/>
      <c r="AB41" s="8"/>
      <c r="AC41" s="8"/>
    </row>
    <row r="42" spans="2:29" x14ac:dyDescent="0.35">
      <c r="B42" t="s">
        <v>87</v>
      </c>
      <c r="C42" s="7" t="s">
        <v>58</v>
      </c>
      <c r="D42" s="7"/>
      <c r="E42" s="33">
        <v>1.1000000000000001</v>
      </c>
      <c r="F42" s="8"/>
      <c r="G42" s="8"/>
      <c r="H42" s="8"/>
      <c r="I42" s="8"/>
      <c r="J42" s="8"/>
      <c r="K42" s="8"/>
      <c r="L42" s="8"/>
      <c r="M42" s="8"/>
      <c r="N42" s="8"/>
      <c r="O42" s="8"/>
      <c r="P42" s="8"/>
      <c r="Q42" s="8"/>
      <c r="R42" s="8"/>
      <c r="S42" s="8"/>
      <c r="T42" s="8"/>
      <c r="U42" s="8"/>
      <c r="V42" s="8"/>
      <c r="W42" s="8"/>
      <c r="X42" s="8"/>
      <c r="Y42" s="8"/>
      <c r="Z42" s="8"/>
      <c r="AA42" s="8"/>
      <c r="AB42" s="8"/>
      <c r="AC42" s="8"/>
    </row>
    <row r="43" spans="2:29" x14ac:dyDescent="0.35">
      <c r="B43" t="s">
        <v>88</v>
      </c>
      <c r="C43" s="7" t="s">
        <v>58</v>
      </c>
      <c r="D43" s="7"/>
      <c r="E43" s="33">
        <v>1.1000000000000001</v>
      </c>
      <c r="F43" s="8"/>
      <c r="G43" s="8"/>
      <c r="H43" s="8"/>
      <c r="I43" s="8"/>
      <c r="J43" s="8"/>
      <c r="K43" s="8"/>
      <c r="L43" s="8"/>
      <c r="M43" s="8"/>
      <c r="N43" s="8"/>
      <c r="O43" s="8"/>
      <c r="P43" s="8"/>
      <c r="Q43" s="8"/>
      <c r="R43" s="8"/>
      <c r="S43" s="8"/>
      <c r="T43" s="8"/>
      <c r="U43" s="8"/>
      <c r="V43" s="8"/>
      <c r="W43" s="8"/>
      <c r="X43" s="8"/>
      <c r="Y43" s="8"/>
      <c r="Z43" s="8"/>
      <c r="AA43" s="8"/>
      <c r="AB43" s="8"/>
      <c r="AC43" s="8"/>
    </row>
    <row r="44" spans="2:29" x14ac:dyDescent="0.35">
      <c r="B44" t="s">
        <v>89</v>
      </c>
      <c r="C44" s="7" t="s">
        <v>58</v>
      </c>
      <c r="D44" s="7"/>
      <c r="E44" s="33">
        <v>1.1000000000000001</v>
      </c>
      <c r="F44" s="8"/>
      <c r="G44" s="8"/>
      <c r="H44" s="8"/>
      <c r="I44" s="8"/>
      <c r="J44" s="8"/>
      <c r="K44" s="8"/>
      <c r="L44" s="8"/>
      <c r="M44" s="8"/>
      <c r="N44" s="8"/>
      <c r="O44" s="8"/>
      <c r="P44" s="8"/>
      <c r="Q44" s="8"/>
      <c r="R44" s="8"/>
      <c r="S44" s="8"/>
      <c r="T44" s="8"/>
      <c r="U44" s="8"/>
      <c r="V44" s="8"/>
      <c r="W44" s="8"/>
      <c r="X44" s="8"/>
      <c r="Y44" s="8"/>
      <c r="Z44" s="8"/>
      <c r="AA44" s="8"/>
      <c r="AB44" s="8"/>
      <c r="AC44" s="8"/>
    </row>
    <row r="45" spans="2:29" x14ac:dyDescent="0.35">
      <c r="C45" s="7"/>
      <c r="D45" s="7"/>
      <c r="E45" s="8"/>
      <c r="F45" s="8"/>
      <c r="G45" s="8"/>
      <c r="H45" s="8"/>
      <c r="I45" s="8"/>
      <c r="J45" s="8"/>
      <c r="K45" s="8"/>
      <c r="L45" s="8"/>
      <c r="M45" s="8"/>
      <c r="N45" s="8"/>
      <c r="O45" s="8"/>
      <c r="P45" s="8"/>
      <c r="Q45" s="8"/>
      <c r="R45" s="8"/>
      <c r="S45" s="8"/>
      <c r="T45" s="8"/>
      <c r="U45" s="8"/>
      <c r="V45" s="8"/>
      <c r="W45" s="8"/>
      <c r="X45" s="8"/>
      <c r="Y45" s="8"/>
      <c r="Z45" s="8"/>
      <c r="AA45" s="8"/>
      <c r="AB45" s="8"/>
      <c r="AC45" s="8"/>
    </row>
    <row r="46" spans="2:29" x14ac:dyDescent="0.35">
      <c r="B46" s="162" t="s">
        <v>90</v>
      </c>
    </row>
    <row r="47" spans="2:29" x14ac:dyDescent="0.35">
      <c r="B47" t="s">
        <v>91</v>
      </c>
      <c r="C47" s="7" t="s">
        <v>52</v>
      </c>
      <c r="E47" s="33">
        <v>1.1000000000000001</v>
      </c>
      <c r="F47" s="8"/>
      <c r="G47" s="8"/>
      <c r="H47" s="8"/>
      <c r="I47" s="8"/>
      <c r="J47" s="8"/>
      <c r="K47" s="8"/>
      <c r="L47" s="8"/>
      <c r="M47" s="8"/>
      <c r="N47" s="8"/>
      <c r="O47" s="8"/>
      <c r="P47" s="8"/>
      <c r="Q47" s="8"/>
      <c r="R47" s="8"/>
      <c r="S47" s="8"/>
      <c r="T47" s="8"/>
      <c r="U47" s="8"/>
      <c r="V47" s="8"/>
      <c r="W47" s="8"/>
      <c r="X47" s="8"/>
      <c r="Y47" s="8"/>
      <c r="Z47" s="8"/>
      <c r="AA47" s="8"/>
      <c r="AB47" s="8"/>
      <c r="AC47" s="8"/>
    </row>
    <row r="48" spans="2:29" x14ac:dyDescent="0.35">
      <c r="B48" t="s">
        <v>92</v>
      </c>
      <c r="C48" s="7" t="s">
        <v>52</v>
      </c>
      <c r="D48" t="s">
        <v>93</v>
      </c>
      <c r="E48" s="33">
        <v>1.1000000000000001</v>
      </c>
      <c r="F48" s="8"/>
      <c r="G48" s="8"/>
      <c r="H48" s="8"/>
      <c r="I48" s="8"/>
      <c r="J48" s="8"/>
      <c r="K48" s="8"/>
      <c r="L48" s="8"/>
      <c r="M48" s="8"/>
      <c r="N48" s="8"/>
      <c r="O48" s="8"/>
      <c r="P48" s="8"/>
      <c r="Q48" s="8"/>
      <c r="R48" s="8"/>
      <c r="S48" s="8"/>
      <c r="T48" s="8"/>
      <c r="U48" s="8"/>
      <c r="V48" s="8"/>
      <c r="W48" s="8"/>
      <c r="X48" s="8"/>
      <c r="Y48" s="8"/>
      <c r="Z48" s="8"/>
      <c r="AA48" s="8"/>
      <c r="AB48" s="8"/>
      <c r="AC48" s="8"/>
    </row>
    <row r="49" spans="2:29" x14ac:dyDescent="0.35">
      <c r="F49" s="8"/>
      <c r="G49" s="8"/>
      <c r="H49" s="8"/>
      <c r="I49" s="8"/>
      <c r="J49" s="8"/>
      <c r="K49" s="8"/>
      <c r="L49" s="8"/>
      <c r="M49" s="8"/>
      <c r="N49" s="8"/>
      <c r="O49" s="8"/>
      <c r="P49" s="8"/>
      <c r="Q49" s="8"/>
      <c r="R49" s="8"/>
      <c r="S49" s="8"/>
      <c r="T49" s="8"/>
      <c r="U49" s="8"/>
      <c r="V49" s="8"/>
      <c r="W49" s="8"/>
      <c r="X49" s="8"/>
      <c r="Y49" s="8"/>
      <c r="Z49" s="8"/>
      <c r="AA49" s="8"/>
      <c r="AB49" s="8"/>
      <c r="AC49" s="8"/>
    </row>
    <row r="50" spans="2:29" x14ac:dyDescent="0.35">
      <c r="F50" s="8"/>
      <c r="G50" s="8"/>
      <c r="H50" s="8"/>
      <c r="I50" s="8"/>
      <c r="J50" s="8"/>
      <c r="K50" s="8"/>
      <c r="L50" s="8"/>
      <c r="M50" s="8"/>
      <c r="N50" s="8"/>
      <c r="O50" s="8"/>
      <c r="P50" s="8"/>
      <c r="Q50" s="8"/>
      <c r="R50" s="8"/>
      <c r="S50" s="8"/>
      <c r="T50" s="8"/>
      <c r="U50" s="8"/>
      <c r="V50" s="8"/>
      <c r="W50" s="8"/>
      <c r="X50" s="8"/>
      <c r="Y50" s="8"/>
      <c r="Z50" s="8"/>
      <c r="AA50" s="8"/>
      <c r="AB50" s="8"/>
      <c r="AC50" s="8"/>
    </row>
    <row r="51" spans="2:29" ht="15" thickBot="1" x14ac:dyDescent="0.4">
      <c r="B51" s="12" t="s">
        <v>94</v>
      </c>
      <c r="C51" s="12" t="s">
        <v>108</v>
      </c>
      <c r="D51" s="12" t="s">
        <v>47</v>
      </c>
      <c r="E51" s="12" t="s">
        <v>129</v>
      </c>
      <c r="F51" s="8"/>
      <c r="G51" s="8"/>
      <c r="H51" s="8"/>
      <c r="I51" s="8"/>
      <c r="J51" s="8"/>
      <c r="K51" s="8"/>
      <c r="L51" s="8"/>
      <c r="M51" s="8"/>
      <c r="N51" s="8"/>
      <c r="O51" s="8"/>
      <c r="P51" s="8"/>
      <c r="Q51" s="8"/>
      <c r="R51" s="8"/>
      <c r="S51" s="8"/>
      <c r="T51" s="8"/>
      <c r="U51" s="8"/>
      <c r="V51" s="8"/>
      <c r="W51" s="8"/>
      <c r="X51" s="8"/>
      <c r="Y51" s="8"/>
      <c r="Z51" s="8"/>
      <c r="AA51" s="8"/>
      <c r="AB51" s="8"/>
      <c r="AC51" s="8"/>
    </row>
    <row r="52" spans="2:29" x14ac:dyDescent="0.35">
      <c r="B52" t="s">
        <v>97</v>
      </c>
      <c r="C52" s="7" t="s">
        <v>58</v>
      </c>
      <c r="D52" s="7"/>
      <c r="E52" s="33">
        <v>1.1000000000000001</v>
      </c>
      <c r="F52" s="8"/>
      <c r="G52" s="8"/>
      <c r="H52" s="8"/>
      <c r="I52" s="8"/>
      <c r="J52" s="8"/>
      <c r="K52" s="8"/>
      <c r="L52" s="8"/>
      <c r="M52" s="8"/>
      <c r="N52" s="8"/>
      <c r="O52" s="8"/>
      <c r="P52" s="8"/>
      <c r="Q52" s="8"/>
      <c r="R52" s="8"/>
      <c r="S52" s="8"/>
      <c r="T52" s="8"/>
      <c r="U52" s="8"/>
      <c r="V52" s="8"/>
      <c r="W52" s="8"/>
      <c r="X52" s="8"/>
      <c r="Y52" s="8"/>
      <c r="Z52" s="8"/>
      <c r="AA52" s="8"/>
      <c r="AB52" s="8"/>
      <c r="AC52" s="8"/>
    </row>
    <row r="53" spans="2:29" x14ac:dyDescent="0.35">
      <c r="B53" t="s">
        <v>98</v>
      </c>
      <c r="C53" s="7" t="s">
        <v>58</v>
      </c>
      <c r="D53" s="7"/>
      <c r="E53" s="33">
        <v>1.1000000000000001</v>
      </c>
      <c r="F53" s="8"/>
      <c r="G53" s="8"/>
      <c r="H53" s="8"/>
      <c r="I53" s="8"/>
      <c r="J53" s="8"/>
      <c r="K53" s="8"/>
      <c r="L53" s="8"/>
      <c r="M53" s="8"/>
      <c r="N53" s="8"/>
      <c r="O53" s="8"/>
      <c r="P53" s="8"/>
      <c r="Q53" s="8"/>
      <c r="R53" s="8"/>
      <c r="S53" s="8"/>
      <c r="T53" s="8"/>
      <c r="U53" s="8"/>
      <c r="V53" s="8"/>
      <c r="W53" s="8"/>
      <c r="X53" s="8"/>
      <c r="Y53" s="8"/>
      <c r="Z53" s="8"/>
      <c r="AA53" s="8"/>
      <c r="AB53" s="8"/>
      <c r="AC53" s="8"/>
    </row>
    <row r="56" spans="2:29" ht="15" thickBot="1" x14ac:dyDescent="0.4">
      <c r="B56" s="12" t="s">
        <v>99</v>
      </c>
      <c r="C56" s="12" t="s">
        <v>108</v>
      </c>
      <c r="D56" s="12" t="s">
        <v>47</v>
      </c>
      <c r="E56" s="12">
        <v>2001</v>
      </c>
      <c r="F56" s="12">
        <f>E56+1</f>
        <v>2002</v>
      </c>
      <c r="G56" s="12">
        <f t="shared" ref="G56" si="0">F56+1</f>
        <v>2003</v>
      </c>
      <c r="H56" s="12">
        <f t="shared" ref="H56" si="1">G56+1</f>
        <v>2004</v>
      </c>
      <c r="I56" s="12">
        <f t="shared" ref="I56" si="2">H56+1</f>
        <v>2005</v>
      </c>
      <c r="J56" s="12">
        <f t="shared" ref="J56" si="3">I56+1</f>
        <v>2006</v>
      </c>
      <c r="K56" s="12">
        <f t="shared" ref="K56" si="4">J56+1</f>
        <v>2007</v>
      </c>
      <c r="L56" s="12">
        <f t="shared" ref="L56" si="5">K56+1</f>
        <v>2008</v>
      </c>
      <c r="M56" s="12">
        <f t="shared" ref="M56" si="6">L56+1</f>
        <v>2009</v>
      </c>
      <c r="N56" s="12">
        <f t="shared" ref="N56" si="7">M56+1</f>
        <v>2010</v>
      </c>
      <c r="O56" s="12">
        <f t="shared" ref="O56" si="8">N56+1</f>
        <v>2011</v>
      </c>
      <c r="P56" s="12">
        <f t="shared" ref="P56" si="9">O56+1</f>
        <v>2012</v>
      </c>
      <c r="Q56" s="12">
        <f t="shared" ref="Q56" si="10">P56+1</f>
        <v>2013</v>
      </c>
      <c r="R56" s="12">
        <f t="shared" ref="R56" si="11">Q56+1</f>
        <v>2014</v>
      </c>
      <c r="S56" s="12">
        <f t="shared" ref="S56" si="12">R56+1</f>
        <v>2015</v>
      </c>
      <c r="T56" s="12">
        <f t="shared" ref="T56" si="13">S56+1</f>
        <v>2016</v>
      </c>
      <c r="U56" s="12">
        <f t="shared" ref="U56" si="14">T56+1</f>
        <v>2017</v>
      </c>
      <c r="V56" s="12">
        <f t="shared" ref="V56" si="15">U56+1</f>
        <v>2018</v>
      </c>
      <c r="W56" s="12">
        <f t="shared" ref="W56" si="16">V56+1</f>
        <v>2019</v>
      </c>
      <c r="X56" s="12">
        <f t="shared" ref="X56" si="17">W56+1</f>
        <v>2020</v>
      </c>
      <c r="Y56" s="12">
        <f t="shared" ref="Y56" si="18">X56+1</f>
        <v>2021</v>
      </c>
      <c r="Z56" s="12">
        <f t="shared" ref="Z56:AC56" si="19">Y56+1</f>
        <v>2022</v>
      </c>
      <c r="AA56" s="12">
        <f t="shared" si="19"/>
        <v>2023</v>
      </c>
      <c r="AB56" s="12">
        <f t="shared" si="19"/>
        <v>2024</v>
      </c>
      <c r="AC56" s="12">
        <f t="shared" si="19"/>
        <v>2025</v>
      </c>
    </row>
    <row r="57" spans="2:29" ht="43.5" x14ac:dyDescent="0.35">
      <c r="B57" t="s">
        <v>100</v>
      </c>
      <c r="C57" s="7" t="s">
        <v>58</v>
      </c>
      <c r="D57" s="34" t="s">
        <v>149</v>
      </c>
      <c r="E57" s="44">
        <v>2.9989534911732578</v>
      </c>
      <c r="F57" s="44">
        <v>2.8874965941548014</v>
      </c>
      <c r="G57" s="44">
        <v>2.7425554492081661</v>
      </c>
      <c r="H57" s="44">
        <v>2.6739811442513273</v>
      </c>
      <c r="I57" s="44">
        <v>2.6578415920889276</v>
      </c>
      <c r="J57" s="44">
        <v>2.5537487302325816</v>
      </c>
      <c r="K57" s="44">
        <v>2.4503429665825784</v>
      </c>
      <c r="L57" s="44">
        <v>2.340559726792975</v>
      </c>
      <c r="M57" s="44">
        <v>2.3153463005559973</v>
      </c>
      <c r="N57" s="44">
        <v>2.3616474551134554</v>
      </c>
      <c r="O57" s="44">
        <v>2.2232998793285526</v>
      </c>
      <c r="P57" s="44">
        <v>2.283288967200285</v>
      </c>
      <c r="Q57" s="44">
        <v>2.2100055396489808</v>
      </c>
      <c r="R57" s="44">
        <v>2.1770361105029932</v>
      </c>
      <c r="S57" s="44">
        <v>2.1189731471028148</v>
      </c>
      <c r="T57" s="44">
        <v>2.1394979013484643</v>
      </c>
      <c r="U57" s="44">
        <v>2.0669209055094706</v>
      </c>
      <c r="V57" s="44">
        <v>1.9478256682260575</v>
      </c>
      <c r="W57" s="44">
        <v>1.8887561599504037</v>
      </c>
      <c r="X57" s="44">
        <v>1.8433480889308176</v>
      </c>
      <c r="Y57" s="44">
        <v>1.9569469746639168</v>
      </c>
      <c r="Z57" s="44">
        <v>1.8985032006276714</v>
      </c>
      <c r="AA57" s="44">
        <v>1.7817045702539844</v>
      </c>
      <c r="AB57" s="44">
        <v>1.7838796488931119</v>
      </c>
      <c r="AC57" s="44">
        <v>1.7391684123333719</v>
      </c>
    </row>
    <row r="58" spans="2:29" ht="43.5" x14ac:dyDescent="0.35">
      <c r="B58" t="s">
        <v>101</v>
      </c>
      <c r="C58" s="7" t="s">
        <v>58</v>
      </c>
      <c r="D58" s="34" t="s">
        <v>149</v>
      </c>
      <c r="E58" s="44">
        <v>2.6045108310652085</v>
      </c>
      <c r="F58" s="44">
        <v>2.5138993665384839</v>
      </c>
      <c r="G58" s="44">
        <v>2.4093731970157717</v>
      </c>
      <c r="H58" s="44">
        <v>2.3492142830717109</v>
      </c>
      <c r="I58" s="44">
        <v>2.3480558199390384</v>
      </c>
      <c r="J58" s="44">
        <v>2.2515926708575162</v>
      </c>
      <c r="K58" s="44">
        <v>2.1621891483670193</v>
      </c>
      <c r="L58" s="44">
        <v>2.0658128314327384</v>
      </c>
      <c r="M58" s="44">
        <v>2.0477907919242249</v>
      </c>
      <c r="N58" s="44">
        <v>2.1114351483820828</v>
      </c>
      <c r="O58" s="44">
        <v>1.9964114623087037</v>
      </c>
      <c r="P58" s="44">
        <v>2.0460688571712278</v>
      </c>
      <c r="Q58" s="44">
        <v>1.9847483081681072</v>
      </c>
      <c r="R58" s="44">
        <v>1.9500928062905647</v>
      </c>
      <c r="S58" s="44">
        <v>1.9008961958253874</v>
      </c>
      <c r="T58" s="44">
        <v>1.9172513368493043</v>
      </c>
      <c r="U58" s="44">
        <v>1.8525351412186633</v>
      </c>
      <c r="V58" s="44">
        <v>1.7494625744128487</v>
      </c>
      <c r="W58" s="44">
        <v>1.7015331410648753</v>
      </c>
      <c r="X58" s="44">
        <v>1.6548899663269059</v>
      </c>
      <c r="Y58" s="44">
        <v>1.7560806693109696</v>
      </c>
      <c r="Z58" s="44">
        <v>1.70362512668999</v>
      </c>
      <c r="AA58" s="44">
        <v>1.6106172547144437</v>
      </c>
      <c r="AB58" s="44">
        <v>1.6196657643616783</v>
      </c>
      <c r="AC58" s="44">
        <v>1.5760672165921423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8C5C-5881-4D60-8629-0971FB94A8E5}">
  <dimension ref="A1:D26"/>
  <sheetViews>
    <sheetView workbookViewId="0"/>
  </sheetViews>
  <sheetFormatPr defaultRowHeight="14.5" x14ac:dyDescent="0.35"/>
  <cols>
    <col min="1" max="1" width="6.81640625" bestFit="1" customWidth="1"/>
    <col min="2" max="2" width="12.1796875" bestFit="1" customWidth="1"/>
    <col min="3" max="3" width="13.90625" bestFit="1" customWidth="1"/>
    <col min="4" max="4" width="18.1796875" bestFit="1" customWidth="1"/>
  </cols>
  <sheetData>
    <row r="1" spans="1:4" x14ac:dyDescent="0.35">
      <c r="A1" t="s">
        <v>48</v>
      </c>
      <c r="B1" t="s">
        <v>130</v>
      </c>
      <c r="C1" t="s">
        <v>131</v>
      </c>
      <c r="D1" t="s">
        <v>132</v>
      </c>
    </row>
    <row r="2" spans="1:4" x14ac:dyDescent="0.35">
      <c r="A2">
        <v>2001</v>
      </c>
      <c r="B2">
        <v>0.755</v>
      </c>
      <c r="C2">
        <v>44.589419999999997</v>
      </c>
      <c r="D2">
        <v>251.85599999999999</v>
      </c>
    </row>
    <row r="3" spans="1:4" x14ac:dyDescent="0.35">
      <c r="A3">
        <v>2002</v>
      </c>
      <c r="B3">
        <v>0.75500000000000012</v>
      </c>
      <c r="C3">
        <v>44.589419999999997</v>
      </c>
      <c r="D3">
        <v>251.85599999999999</v>
      </c>
    </row>
    <row r="4" spans="1:4" x14ac:dyDescent="0.35">
      <c r="A4">
        <v>2003</v>
      </c>
      <c r="B4">
        <v>0.755</v>
      </c>
      <c r="C4">
        <v>44.589419999999997</v>
      </c>
      <c r="D4">
        <v>251.85599999999999</v>
      </c>
    </row>
    <row r="5" spans="1:4" x14ac:dyDescent="0.35">
      <c r="A5">
        <v>2004</v>
      </c>
      <c r="B5">
        <v>0.75499999999999989</v>
      </c>
      <c r="C5">
        <v>44.589419999999997</v>
      </c>
      <c r="D5">
        <v>251.85599999999999</v>
      </c>
    </row>
    <row r="6" spans="1:4" x14ac:dyDescent="0.35">
      <c r="A6">
        <v>2005</v>
      </c>
      <c r="B6">
        <v>0.74074116149404789</v>
      </c>
      <c r="C6">
        <v>44.589281286263294</v>
      </c>
      <c r="D6">
        <v>251.85485220974812</v>
      </c>
    </row>
    <row r="7" spans="1:4" x14ac:dyDescent="0.35">
      <c r="A7">
        <v>2006</v>
      </c>
      <c r="B7">
        <v>0.74077294909283686</v>
      </c>
      <c r="C7">
        <v>44.578802022486883</v>
      </c>
      <c r="D7">
        <v>251.76812062874433</v>
      </c>
    </row>
    <row r="8" spans="1:4" x14ac:dyDescent="0.35">
      <c r="A8">
        <v>2007</v>
      </c>
      <c r="B8">
        <v>0.74091227817301408</v>
      </c>
      <c r="C8">
        <v>44.532880687427323</v>
      </c>
      <c r="D8">
        <v>251.38757154586582</v>
      </c>
    </row>
    <row r="9" spans="1:4" x14ac:dyDescent="0.35">
      <c r="A9">
        <v>2008</v>
      </c>
      <c r="B9">
        <v>0.74164565843971153</v>
      </c>
      <c r="C9">
        <v>44.291451033508032</v>
      </c>
      <c r="D9">
        <v>249.37386922455988</v>
      </c>
    </row>
    <row r="10" spans="1:4" x14ac:dyDescent="0.35">
      <c r="A10">
        <v>2009</v>
      </c>
      <c r="B10">
        <v>0.74200105254884086</v>
      </c>
      <c r="C10">
        <v>44.174626545305458</v>
      </c>
      <c r="D10">
        <v>248.39156401236713</v>
      </c>
    </row>
    <row r="11" spans="1:4" x14ac:dyDescent="0.35">
      <c r="A11">
        <v>2010</v>
      </c>
      <c r="B11">
        <v>0.74256832010585427</v>
      </c>
      <c r="C11">
        <v>43.988387108317831</v>
      </c>
      <c r="D11">
        <v>246.81480224218112</v>
      </c>
    </row>
    <row r="12" spans="1:4" x14ac:dyDescent="0.35">
      <c r="A12">
        <v>2011</v>
      </c>
      <c r="B12">
        <v>0.74260016062796286</v>
      </c>
      <c r="C12">
        <v>43.977941989927615</v>
      </c>
      <c r="D12">
        <v>246.72597508096146</v>
      </c>
    </row>
    <row r="13" spans="1:4" x14ac:dyDescent="0.35">
      <c r="A13">
        <v>2012</v>
      </c>
      <c r="B13">
        <v>0.74274662451841311</v>
      </c>
      <c r="C13">
        <v>43.929906803273035</v>
      </c>
      <c r="D13">
        <v>246.31693143093563</v>
      </c>
    </row>
    <row r="14" spans="1:4" x14ac:dyDescent="0.35">
      <c r="A14">
        <v>2013</v>
      </c>
      <c r="B14">
        <v>0.74286359769375276</v>
      </c>
      <c r="C14">
        <v>43.891557175089304</v>
      </c>
      <c r="D14">
        <v>245.98972242893061</v>
      </c>
    </row>
    <row r="15" spans="1:4" x14ac:dyDescent="0.35">
      <c r="A15">
        <v>2014</v>
      </c>
      <c r="B15">
        <v>0.74283223176760282</v>
      </c>
      <c r="C15">
        <v>43.901839301549408</v>
      </c>
      <c r="D15">
        <v>246.07750829391946</v>
      </c>
    </row>
    <row r="16" spans="1:4" x14ac:dyDescent="0.35">
      <c r="A16">
        <v>2015</v>
      </c>
      <c r="B16">
        <v>0.74319988187115638</v>
      </c>
      <c r="C16">
        <v>43.781373725049782</v>
      </c>
      <c r="D16">
        <v>245.04641913699078</v>
      </c>
    </row>
    <row r="17" spans="1:4" x14ac:dyDescent="0.35">
      <c r="A17">
        <v>2016</v>
      </c>
      <c r="B17">
        <v>0.74361069600211871</v>
      </c>
      <c r="C17">
        <v>43.64690578365564</v>
      </c>
      <c r="D17">
        <v>243.88875849819789</v>
      </c>
    </row>
    <row r="18" spans="1:4" x14ac:dyDescent="0.35">
      <c r="A18">
        <v>2017</v>
      </c>
      <c r="B18">
        <v>0.74361688318283004</v>
      </c>
      <c r="C18">
        <v>43.644881727424433</v>
      </c>
      <c r="D18">
        <v>243.87127850947778</v>
      </c>
    </row>
    <row r="19" spans="1:4" x14ac:dyDescent="0.35">
      <c r="A19">
        <v>2018</v>
      </c>
      <c r="B19">
        <v>0.74364604812630097</v>
      </c>
      <c r="C19">
        <v>43.635341246545416</v>
      </c>
      <c r="D19">
        <v>243.7888639532797</v>
      </c>
    </row>
    <row r="20" spans="1:4" x14ac:dyDescent="0.35">
      <c r="A20">
        <v>2019</v>
      </c>
      <c r="B20">
        <v>0.74368350920548898</v>
      </c>
      <c r="C20">
        <v>43.623088018927575</v>
      </c>
      <c r="D20">
        <v>243.68296270593066</v>
      </c>
    </row>
    <row r="21" spans="1:4" x14ac:dyDescent="0.35">
      <c r="A21">
        <v>2020</v>
      </c>
      <c r="B21">
        <v>0.74368872946221165</v>
      </c>
      <c r="C21">
        <v>43.621380611554549</v>
      </c>
      <c r="D21">
        <v>243.66820133489321</v>
      </c>
    </row>
    <row r="22" spans="1:4" x14ac:dyDescent="0.35">
      <c r="A22">
        <v>2021</v>
      </c>
      <c r="B22">
        <v>0.74365246045440292</v>
      </c>
      <c r="C22">
        <v>43.633243736329447</v>
      </c>
      <c r="D22">
        <v>243.77073997368777</v>
      </c>
    </row>
    <row r="23" spans="1:4" x14ac:dyDescent="0.35">
      <c r="A23">
        <v>2022</v>
      </c>
      <c r="B23">
        <v>0.74366880993814866</v>
      </c>
      <c r="C23">
        <v>43.627895887777754</v>
      </c>
      <c r="D23">
        <v>243.72452287401507</v>
      </c>
    </row>
    <row r="24" spans="1:4" x14ac:dyDescent="0.35">
      <c r="A24">
        <v>2023</v>
      </c>
      <c r="B24">
        <v>0.74454939873230896</v>
      </c>
      <c r="C24">
        <v>43.340205923402266</v>
      </c>
      <c r="D24">
        <v>241.22144229640324</v>
      </c>
    </row>
    <row r="25" spans="1:4" x14ac:dyDescent="0.35">
      <c r="A25">
        <v>2024</v>
      </c>
      <c r="B25">
        <v>0.74608239353361239</v>
      </c>
      <c r="C25">
        <v>42.840993924038649</v>
      </c>
      <c r="D25">
        <v>236.79820882100645</v>
      </c>
    </row>
    <row r="26" spans="1:4" x14ac:dyDescent="0.35">
      <c r="A26">
        <v>2025</v>
      </c>
      <c r="B26">
        <v>0.74650749949708595</v>
      </c>
      <c r="C26">
        <v>42.702923431769214</v>
      </c>
      <c r="D26">
        <v>235.55658772213803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6559-FAFE-48BE-8F95-9FB18C7FA64D}">
  <dimension ref="A1:D26"/>
  <sheetViews>
    <sheetView workbookViewId="0"/>
  </sheetViews>
  <sheetFormatPr defaultRowHeight="14.5" x14ac:dyDescent="0.35"/>
  <cols>
    <col min="1" max="1" width="6.81640625" bestFit="1" customWidth="1"/>
    <col min="2" max="2" width="12.1796875" bestFit="1" customWidth="1"/>
    <col min="3" max="3" width="13.90625" bestFit="1" customWidth="1"/>
    <col min="4" max="4" width="18.1796875" bestFit="1" customWidth="1"/>
  </cols>
  <sheetData>
    <row r="1" spans="1:4" x14ac:dyDescent="0.35">
      <c r="A1" t="s">
        <v>48</v>
      </c>
      <c r="B1" t="s">
        <v>130</v>
      </c>
      <c r="C1" t="s">
        <v>131</v>
      </c>
      <c r="D1" t="s">
        <v>132</v>
      </c>
    </row>
    <row r="2" spans="1:4" x14ac:dyDescent="0.35">
      <c r="A2">
        <v>2001</v>
      </c>
      <c r="B2">
        <v>0.84499999999999997</v>
      </c>
      <c r="C2">
        <v>43.308259200000002</v>
      </c>
      <c r="D2">
        <v>263.88</v>
      </c>
    </row>
    <row r="3" spans="1:4" x14ac:dyDescent="0.35">
      <c r="A3">
        <v>2002</v>
      </c>
      <c r="B3">
        <v>0.84499999999999997</v>
      </c>
      <c r="C3">
        <v>43.308259200000002</v>
      </c>
      <c r="D3">
        <v>263.88</v>
      </c>
    </row>
    <row r="4" spans="1:4" x14ac:dyDescent="0.35">
      <c r="A4">
        <v>2003</v>
      </c>
      <c r="B4">
        <v>0.84500000000000008</v>
      </c>
      <c r="C4">
        <v>43.308259200000002</v>
      </c>
      <c r="D4">
        <v>263.88</v>
      </c>
    </row>
    <row r="5" spans="1:4" x14ac:dyDescent="0.35">
      <c r="A5">
        <v>2004</v>
      </c>
      <c r="B5">
        <v>0.84499999999999997</v>
      </c>
      <c r="C5">
        <v>43.308259200000002</v>
      </c>
      <c r="D5">
        <v>263.88</v>
      </c>
    </row>
    <row r="6" spans="1:4" x14ac:dyDescent="0.35">
      <c r="A6">
        <v>2005</v>
      </c>
      <c r="B6">
        <v>0.84502449304737848</v>
      </c>
      <c r="C6">
        <v>43.304914158875086</v>
      </c>
      <c r="D6">
        <v>263.75894293645086</v>
      </c>
    </row>
    <row r="7" spans="1:4" x14ac:dyDescent="0.35">
      <c r="A7">
        <v>2006</v>
      </c>
      <c r="B7">
        <v>0.8450539168815201</v>
      </c>
      <c r="C7">
        <v>43.302509881659653</v>
      </c>
      <c r="D7">
        <v>263.66757138493381</v>
      </c>
    </row>
    <row r="8" spans="1:4" x14ac:dyDescent="0.35">
      <c r="A8">
        <v>2007</v>
      </c>
      <c r="B8">
        <v>0.84528789862149389</v>
      </c>
      <c r="C8">
        <v>43.260909164810379</v>
      </c>
      <c r="D8">
        <v>262.1863558425548</v>
      </c>
    </row>
    <row r="9" spans="1:4" x14ac:dyDescent="0.35">
      <c r="A9">
        <v>2008</v>
      </c>
      <c r="B9">
        <v>0.84562175239402038</v>
      </c>
      <c r="C9">
        <v>43.204412322103458</v>
      </c>
      <c r="D9">
        <v>260.16433846694338</v>
      </c>
    </row>
    <row r="10" spans="1:4" x14ac:dyDescent="0.35">
      <c r="A10">
        <v>2009</v>
      </c>
      <c r="B10">
        <v>0.84593712770795793</v>
      </c>
      <c r="C10">
        <v>43.144351616529747</v>
      </c>
      <c r="D10">
        <v>258.02364227632381</v>
      </c>
    </row>
    <row r="11" spans="1:4" x14ac:dyDescent="0.35">
      <c r="A11">
        <v>2010</v>
      </c>
      <c r="B11">
        <v>0.84615206868392834</v>
      </c>
      <c r="C11">
        <v>43.109485677816387</v>
      </c>
      <c r="D11">
        <v>256.76649910946395</v>
      </c>
    </row>
    <row r="12" spans="1:4" x14ac:dyDescent="0.35">
      <c r="A12">
        <v>2011</v>
      </c>
      <c r="B12">
        <v>0.84621400521007417</v>
      </c>
      <c r="C12">
        <v>43.090954982855528</v>
      </c>
      <c r="D12">
        <v>256.11682285486393</v>
      </c>
    </row>
    <row r="13" spans="1:4" x14ac:dyDescent="0.35">
      <c r="A13">
        <v>2012</v>
      </c>
      <c r="B13">
        <v>0.84600543527154204</v>
      </c>
      <c r="C13">
        <v>43.128197233487874</v>
      </c>
      <c r="D13">
        <v>257.45295105962265</v>
      </c>
    </row>
    <row r="14" spans="1:4" x14ac:dyDescent="0.35">
      <c r="A14">
        <v>2013</v>
      </c>
      <c r="B14">
        <v>0.84622524577564573</v>
      </c>
      <c r="C14">
        <v>43.088700627306643</v>
      </c>
      <c r="D14">
        <v>256.03638180165291</v>
      </c>
    </row>
    <row r="15" spans="1:4" x14ac:dyDescent="0.35">
      <c r="A15">
        <v>2014</v>
      </c>
      <c r="B15">
        <v>0.84639524953151901</v>
      </c>
      <c r="C15">
        <v>43.058104395954146</v>
      </c>
      <c r="D15">
        <v>254.93737329727784</v>
      </c>
    </row>
    <row r="16" spans="1:4" x14ac:dyDescent="0.35">
      <c r="A16">
        <v>2015</v>
      </c>
      <c r="B16">
        <v>0.84640631535636801</v>
      </c>
      <c r="C16">
        <v>43.05612369656366</v>
      </c>
      <c r="D16">
        <v>254.86615187836242</v>
      </c>
    </row>
    <row r="17" spans="1:4" x14ac:dyDescent="0.35">
      <c r="A17">
        <v>2016</v>
      </c>
      <c r="B17">
        <v>0.84614485914192739</v>
      </c>
      <c r="C17">
        <v>43.102936240420057</v>
      </c>
      <c r="D17">
        <v>256.54767307430745</v>
      </c>
    </row>
    <row r="18" spans="1:4" x14ac:dyDescent="0.35">
      <c r="A18">
        <v>2017</v>
      </c>
      <c r="B18">
        <v>0.84669169702195524</v>
      </c>
      <c r="C18">
        <v>43.005060410357522</v>
      </c>
      <c r="D18">
        <v>253.02776818676978</v>
      </c>
    </row>
    <row r="19" spans="1:4" x14ac:dyDescent="0.35">
      <c r="A19">
        <v>2018</v>
      </c>
      <c r="B19">
        <v>0.84657856909961782</v>
      </c>
      <c r="C19">
        <v>43.025298248972014</v>
      </c>
      <c r="D19">
        <v>253.75689415307696</v>
      </c>
    </row>
    <row r="20" spans="1:4" x14ac:dyDescent="0.35">
      <c r="A20">
        <v>2019</v>
      </c>
      <c r="B20">
        <v>0.84696650596163403</v>
      </c>
      <c r="C20">
        <v>42.955921422393438</v>
      </c>
      <c r="D20">
        <v>251.25453645354304</v>
      </c>
    </row>
    <row r="21" spans="1:4" x14ac:dyDescent="0.35">
      <c r="A21">
        <v>2020</v>
      </c>
      <c r="B21">
        <v>0.84718668371148576</v>
      </c>
      <c r="C21">
        <v>42.916574120222556</v>
      </c>
      <c r="D21">
        <v>249.83172037908886</v>
      </c>
    </row>
    <row r="22" spans="1:4" x14ac:dyDescent="0.35">
      <c r="A22">
        <v>2021</v>
      </c>
      <c r="B22">
        <v>0.84699056868696843</v>
      </c>
      <c r="C22">
        <v>42.947390815357444</v>
      </c>
      <c r="D22">
        <v>250.34229890867769</v>
      </c>
    </row>
    <row r="23" spans="1:4" x14ac:dyDescent="0.35">
      <c r="A23">
        <v>2022</v>
      </c>
      <c r="B23">
        <v>0.84707959555764878</v>
      </c>
      <c r="C23">
        <v>42.904931646793223</v>
      </c>
      <c r="D23">
        <v>247.62192242930817</v>
      </c>
    </row>
    <row r="24" spans="1:4" x14ac:dyDescent="0.35">
      <c r="A24">
        <v>2023</v>
      </c>
      <c r="B24">
        <v>0.84613883808824253</v>
      </c>
      <c r="C24">
        <v>42.905147505447026</v>
      </c>
      <c r="D24">
        <v>243.91649802783667</v>
      </c>
    </row>
    <row r="25" spans="1:4" x14ac:dyDescent="0.35">
      <c r="A25">
        <v>2024</v>
      </c>
      <c r="B25">
        <v>0.84500934556838847</v>
      </c>
      <c r="C25">
        <v>42.937534446449526</v>
      </c>
      <c r="D25">
        <v>241.0378837273297</v>
      </c>
    </row>
    <row r="26" spans="1:4" x14ac:dyDescent="0.35">
      <c r="A26">
        <v>2025</v>
      </c>
      <c r="B26">
        <v>0.84515838762896611</v>
      </c>
      <c r="C26">
        <v>42.951900532481915</v>
      </c>
      <c r="D26">
        <v>239.04139311113681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6ACC-F26A-44D6-B516-6FB4473C90A5}">
  <dimension ref="A1:C26"/>
  <sheetViews>
    <sheetView workbookViewId="0"/>
  </sheetViews>
  <sheetFormatPr defaultRowHeight="14.5" x14ac:dyDescent="0.35"/>
  <cols>
    <col min="1" max="1" width="6.81640625" bestFit="1" customWidth="1"/>
    <col min="2" max="2" width="25.90625" bestFit="1" customWidth="1"/>
    <col min="3" max="3" width="34.1796875" bestFit="1" customWidth="1"/>
  </cols>
  <sheetData>
    <row r="1" spans="1:3" x14ac:dyDescent="0.35">
      <c r="A1" t="s">
        <v>48</v>
      </c>
      <c r="B1" t="s">
        <v>133</v>
      </c>
      <c r="C1" t="s">
        <v>134</v>
      </c>
    </row>
    <row r="2" spans="1:3" x14ac:dyDescent="0.35">
      <c r="A2">
        <v>2001</v>
      </c>
      <c r="B2">
        <v>808.93327200918657</v>
      </c>
      <c r="C2">
        <v>694.3722265359396</v>
      </c>
    </row>
    <row r="3" spans="1:3" x14ac:dyDescent="0.35">
      <c r="A3">
        <v>2002</v>
      </c>
      <c r="B3">
        <v>746.56161977552949</v>
      </c>
      <c r="C3">
        <v>640.8787364030095</v>
      </c>
    </row>
    <row r="4" spans="1:3" x14ac:dyDescent="0.35">
      <c r="A4">
        <v>2003</v>
      </c>
      <c r="B4">
        <v>679.14205664610176</v>
      </c>
      <c r="C4">
        <v>586.01413696780355</v>
      </c>
    </row>
    <row r="5" spans="1:3" x14ac:dyDescent="0.35">
      <c r="A5">
        <v>2004</v>
      </c>
      <c r="B5">
        <v>643.51435571372849</v>
      </c>
      <c r="C5">
        <v>557.62650360348334</v>
      </c>
    </row>
    <row r="6" spans="1:3" x14ac:dyDescent="0.35">
      <c r="A6">
        <v>2005</v>
      </c>
      <c r="B6">
        <v>638.55713404521327</v>
      </c>
      <c r="C6">
        <v>556.36212357159059</v>
      </c>
    </row>
    <row r="7" spans="1:3" x14ac:dyDescent="0.35">
      <c r="A7">
        <v>2006</v>
      </c>
      <c r="B7">
        <v>598.73583097009714</v>
      </c>
      <c r="C7">
        <v>519.45677941464714</v>
      </c>
    </row>
    <row r="8" spans="1:3" x14ac:dyDescent="0.35">
      <c r="A8">
        <v>2007</v>
      </c>
      <c r="B8">
        <v>562.68219050641358</v>
      </c>
      <c r="C8">
        <v>490.17060362755541</v>
      </c>
    </row>
    <row r="9" spans="1:3" x14ac:dyDescent="0.35">
      <c r="A9">
        <v>2008</v>
      </c>
      <c r="B9">
        <v>549.05223441463556</v>
      </c>
      <c r="C9">
        <v>478.75907150516036</v>
      </c>
    </row>
    <row r="10" spans="1:3" x14ac:dyDescent="0.35">
      <c r="A10">
        <v>2009</v>
      </c>
      <c r="B10">
        <v>525.0679804683466</v>
      </c>
      <c r="C10">
        <v>457.65802938905421</v>
      </c>
    </row>
    <row r="11" spans="1:3" x14ac:dyDescent="0.35">
      <c r="A11">
        <v>2010</v>
      </c>
      <c r="B11">
        <v>530.31586085685888</v>
      </c>
      <c r="C11">
        <v>468.55854258848393</v>
      </c>
    </row>
    <row r="12" spans="1:3" x14ac:dyDescent="0.35">
      <c r="A12">
        <v>2011</v>
      </c>
      <c r="B12">
        <v>489.35326746098445</v>
      </c>
      <c r="C12">
        <v>435.52242741204356</v>
      </c>
    </row>
    <row r="13" spans="1:3" x14ac:dyDescent="0.35">
      <c r="A13">
        <v>2012</v>
      </c>
      <c r="B13">
        <v>532.28515372355002</v>
      </c>
      <c r="C13">
        <v>469.76116337881149</v>
      </c>
    </row>
    <row r="14" spans="1:3" x14ac:dyDescent="0.35">
      <c r="A14">
        <v>2013</v>
      </c>
      <c r="B14">
        <v>471.89500626361223</v>
      </c>
      <c r="C14">
        <v>416.50536333784038</v>
      </c>
    </row>
    <row r="15" spans="1:3" x14ac:dyDescent="0.35">
      <c r="A15">
        <v>2014</v>
      </c>
      <c r="B15">
        <v>460.88621246744077</v>
      </c>
      <c r="C15">
        <v>406.8820798915354</v>
      </c>
    </row>
    <row r="16" spans="1:3" x14ac:dyDescent="0.35">
      <c r="A16">
        <v>2015</v>
      </c>
      <c r="B16">
        <v>470.07597350708909</v>
      </c>
      <c r="C16">
        <v>415.93485340673391</v>
      </c>
    </row>
    <row r="17" spans="1:3" x14ac:dyDescent="0.35">
      <c r="A17">
        <v>2016</v>
      </c>
      <c r="B17">
        <v>485.85123334164194</v>
      </c>
      <c r="C17">
        <v>429.83515964400493</v>
      </c>
    </row>
    <row r="18" spans="1:3" x14ac:dyDescent="0.35">
      <c r="A18">
        <v>2017</v>
      </c>
      <c r="B18">
        <v>445.616079991189</v>
      </c>
      <c r="C18">
        <v>395.38715917702518</v>
      </c>
    </row>
    <row r="19" spans="1:3" x14ac:dyDescent="0.35">
      <c r="A19">
        <v>2018</v>
      </c>
      <c r="B19">
        <v>384.28921820024948</v>
      </c>
      <c r="C19">
        <v>340.24509431469653</v>
      </c>
    </row>
    <row r="20" spans="1:3" x14ac:dyDescent="0.35">
      <c r="A20">
        <v>2019</v>
      </c>
      <c r="B20">
        <v>332.12934073261715</v>
      </c>
      <c r="C20">
        <v>295.31068722625446</v>
      </c>
    </row>
    <row r="21" spans="1:3" x14ac:dyDescent="0.35">
      <c r="A21">
        <v>2020</v>
      </c>
      <c r="B21">
        <v>307.68189727188837</v>
      </c>
      <c r="C21">
        <v>272.68814173226144</v>
      </c>
    </row>
    <row r="22" spans="1:3" x14ac:dyDescent="0.35">
      <c r="A22">
        <v>2021</v>
      </c>
      <c r="B22">
        <v>346.21931297735733</v>
      </c>
      <c r="C22">
        <v>307.186271828982</v>
      </c>
    </row>
    <row r="23" spans="1:3" x14ac:dyDescent="0.35">
      <c r="A23">
        <v>2022</v>
      </c>
      <c r="B23">
        <v>330.57230956021959</v>
      </c>
      <c r="C23">
        <v>294.36522429192217</v>
      </c>
    </row>
    <row r="24" spans="1:3" x14ac:dyDescent="0.35">
      <c r="A24">
        <v>2023</v>
      </c>
      <c r="B24">
        <v>253.33095836629676</v>
      </c>
      <c r="C24">
        <v>227.13781248595765</v>
      </c>
    </row>
    <row r="25" spans="1:3" x14ac:dyDescent="0.35">
      <c r="A25">
        <v>2024</v>
      </c>
      <c r="B25">
        <v>223.98623231612348</v>
      </c>
      <c r="C25">
        <v>201.86855930461263</v>
      </c>
    </row>
    <row r="26" spans="1:3" x14ac:dyDescent="0.35">
      <c r="A26">
        <v>2025</v>
      </c>
      <c r="B26">
        <v>197.80338395877118</v>
      </c>
      <c r="C26">
        <v>178.32767437971518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EEC2B037A465C4F86ACEC7990FE2CD7" ma:contentTypeVersion="16" ma:contentTypeDescription="Create a new document." ma:contentTypeScope="" ma:versionID="77aae1cd16131f1dacb1dc3e44c44828">
  <xsd:schema xmlns:xsd="http://www.w3.org/2001/XMLSchema" xmlns:xs="http://www.w3.org/2001/XMLSchema" xmlns:p="http://schemas.microsoft.com/office/2006/metadata/properties" xmlns:ns2="ef541f73-ed0b-4955-a0cb-49aa500a3a29" xmlns:ns3="8d70b670-d064-4aa3-bdfb-67aa7bbc18e5" targetNamespace="http://schemas.microsoft.com/office/2006/metadata/properties" ma:root="true" ma:fieldsID="d709c042996271f2d28075068fccac21" ns2:_="" ns3:_="">
    <xsd:import namespace="ef541f73-ed0b-4955-a0cb-49aa500a3a29"/>
    <xsd:import namespace="8d70b670-d064-4aa3-bdfb-67aa7bbc18e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541f73-ed0b-4955-a0cb-49aa500a3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1c4129-6f29-4f72-ba0f-e7d3cde34f5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70b670-d064-4aa3-bdfb-67aa7bbc18e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5d28201-cd43-48a7-97a9-fb93b0ef7ac8}" ma:internalName="TaxCatchAll" ma:showField="CatchAllData" ma:web="8d70b670-d064-4aa3-bdfb-67aa7bbc18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541f73-ed0b-4955-a0cb-49aa500a3a29">
      <Terms xmlns="http://schemas.microsoft.com/office/infopath/2007/PartnerControls"/>
    </lcf76f155ced4ddcb4097134ff3c332f>
    <TaxCatchAll xmlns="8d70b670-d064-4aa3-bdfb-67aa7bbc18e5" xsi:nil="true"/>
  </documentManagement>
</p:properties>
</file>

<file path=customXml/item4.xml>��
</file>

<file path=customXml/itemProps1.xml><?xml version="1.0" encoding="utf-8"?>
<ds:datastoreItem xmlns:ds="http://schemas.openxmlformats.org/officeDocument/2006/customXml" ds:itemID="{D7C972D9-9220-4573-9F78-B3D248550293}">
  <ds:schemaRefs>
    <ds:schemaRef ds:uri="http://schemas.microsoft.com/sharepoint/v3/contenttype/forms"/>
  </ds:schemaRefs>
</ds:datastoreItem>
</file>

<file path=customXml/itemProps2.xml><?xml version="1.0" encoding="utf-8"?>
<ds:datastoreItem xmlns:ds="http://schemas.openxmlformats.org/officeDocument/2006/customXml" ds:itemID="{D985DAB2-4838-4754-B597-BA5310B724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541f73-ed0b-4955-a0cb-49aa500a3a29"/>
    <ds:schemaRef ds:uri="8d70b670-d064-4aa3-bdfb-67aa7bbc1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8FCAA2-D6E4-4C88-A0F7-A6A9C3A2C5A5}">
  <ds:schemaRefs>
    <ds:schemaRef ds:uri="http://purl.org/dc/dcmitype/"/>
    <ds:schemaRef ds:uri="http://schemas.microsoft.com/office/infopath/2007/PartnerControls"/>
    <ds:schemaRef ds:uri="http://schemas.microsoft.com/office/2006/documentManagement/types"/>
    <ds:schemaRef ds:uri="ef541f73-ed0b-4955-a0cb-49aa500a3a29"/>
    <ds:schemaRef ds:uri="http://schemas.microsoft.com/office/2006/metadata/properties"/>
    <ds:schemaRef ds:uri="http://purl.org/dc/elements/1.1/"/>
    <ds:schemaRef ds:uri="http://schemas.openxmlformats.org/package/2006/metadata/core-properties"/>
    <ds:schemaRef ds:uri="8d70b670-d064-4aa3-bdfb-67aa7bbc18e5"/>
    <ds:schemaRef ds:uri="http://www.w3.org/XML/1998/namespace"/>
    <ds:schemaRef ds:uri="http://purl.org/dc/terms/"/>
  </ds:schemaRefs>
</ds:datastoreItem>
</file>

<file path=customXml/itemProps4.xml><?xml version="1.0" encoding="utf-8"?>
<ds:datastoreItem xmlns:ds="http://schemas.openxmlformats.org/officeDocument/2006/customXml" ds:itemID="{29EDB365-1998-4248-A817-C380F1165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QAQC</vt:lpstr>
      <vt:lpstr>Conversion and emission factors</vt:lpstr>
      <vt:lpstr>Energy content timeseries</vt:lpstr>
      <vt:lpstr>Emission factors timeseries</vt:lpstr>
      <vt:lpstr>Density timeseries</vt:lpstr>
      <vt:lpstr>Primary energy timeseries</vt:lpstr>
      <vt:lpstr>road_petrol_blend</vt:lpstr>
      <vt:lpstr>road_diesel_blend</vt:lpstr>
      <vt:lpstr>GHG_elec</vt:lpstr>
      <vt:lpstr>'Conversion and emission factors'!year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Denvir Brian</dc:creator>
  <cp:keywords/>
  <dc:description/>
  <cp:lastModifiedBy>Cathal OCleirigh</cp:lastModifiedBy>
  <cp:revision/>
  <dcterms:created xsi:type="dcterms:W3CDTF">2017-05-23T15:05:48Z</dcterms:created>
  <dcterms:modified xsi:type="dcterms:W3CDTF">2026-06-19T17:08:23Z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0x010100FEEC2B037A465C4F86ACEC7990FE2CD7</vt:lpwstr>
  </property>
  <property fmtid="{D5CDD505-2E9C-101B-9397-08002B2CF9AE}" pid="3" name="MediaServiceImageTags">
    <vt:lpwstr/>
  </property>
</Properties>
</file>